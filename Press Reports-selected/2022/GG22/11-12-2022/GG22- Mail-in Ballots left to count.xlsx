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8_{8323B943-909C-45BF-91C8-CBFDB037AD8E}" xr6:coauthVersionLast="47" xr6:coauthVersionMax="47" xr10:uidLastSave="{00000000-0000-0000-0000-000000000000}"/>
  <bookViews>
    <workbookView xWindow="2310" yWindow="390" windowWidth="21510" windowHeight="15135" xr2:uid="{00000000-000D-0000-FFFF-FFFF00000000}"/>
  </bookViews>
  <sheets>
    <sheet name="Sat., Nov. 12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6" l="1"/>
  <c r="K6" i="6" s="1"/>
  <c r="J19" i="6"/>
  <c r="K19" i="6" s="1"/>
  <c r="J18" i="6"/>
  <c r="K18" i="6"/>
  <c r="J21" i="6"/>
  <c r="K21" i="6" s="1"/>
  <c r="J5" i="6"/>
  <c r="K5" i="6" s="1"/>
  <c r="J13" i="6"/>
  <c r="K13" i="6" s="1"/>
  <c r="K20" i="6"/>
  <c r="K26" i="6"/>
  <c r="K25" i="6"/>
  <c r="K24" i="6"/>
  <c r="K23" i="6"/>
  <c r="K22" i="6"/>
  <c r="K17" i="6"/>
  <c r="K16" i="6"/>
  <c r="K15" i="6"/>
  <c r="K14" i="6"/>
  <c r="K12" i="6"/>
  <c r="K11" i="6"/>
  <c r="K10" i="6"/>
  <c r="K9" i="6"/>
  <c r="K8" i="6"/>
  <c r="K7" i="6"/>
  <c r="K4" i="6"/>
  <c r="K3" i="6"/>
  <c r="J27" i="6" l="1"/>
  <c r="K27" i="6" s="1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<sst xmlns="http://schemas.openxmlformats.org/spreadsheetml/2006/main" count="44" uniqueCount="38">
  <si>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</si>
  <si>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</si>
  <si>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</si>
  <si>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</si>
  <si>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</si>
  <si>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</si>
  <si>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</si>
  <si>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</si>
  <si>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</si>
  <si>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</si>
  <si>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</si>
  <si>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</si>
  <si>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</si>
  <si>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</si>
  <si>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</si>
  <si>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</si>
  <si>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</si>
  <si>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</si>
  <si>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</si>
  <si>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</si>
  <si>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</si>
  <si>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</si>
  <si>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</si>
  <si>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</si>
  <si>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</si>
  <si>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</si>
  <si>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</si>
  <si>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</si>
  <si>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</si>
  <si>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</si>
  <si>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</si>
  <si>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</si>
  <si>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</si>
  <si>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</si>
  <si>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</si>
  <si>
    <t>Total Ballots Received through November 12**</t>
  </si>
  <si>
    <t>Cumulative Total Mail-In Ballots canvassed through November 12***</t>
  </si>
  <si>
    <t>Ballots left to count as of November 12- End of Day****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</si>
</sst>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4" fillId="0" borderId="2" xfId="0" applyNumberFormat="1" applyFont="1" applyBorder="1" applyAlignment="1">
      <alignment horizontal="right" vertical="top"/>
    </xf>
    <xf numFmtId="37" fontId="4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" fontId="0" fillId="0" borderId="7" xfId="0" applyNumberFormat="1" applyBorder="1"/>
    <xf numFmtId="3" fontId="4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37" fontId="3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3" fontId="5" fillId="0" borderId="7" xfId="0" applyNumberFormat="1" applyFont="1" applyBorder="1"/>
    <xf numFmtId="3" fontId="5" fillId="0" borderId="0" xfId="0" applyNumberFormat="1" applyFont="1"/>
    <xf numFmtId="0" fontId="3" fillId="0" borderId="0" xfId="0" applyFont="1"/>
    <xf numFmtId="37" fontId="0" fillId="0" borderId="7" xfId="0" applyNumberFormat="1" applyBorder="1" applyAlignment="1">
      <alignment horizontal="right" vertical="top"/>
    </xf>
    <xf numFmtId="37" fontId="4" fillId="0" borderId="7" xfId="0" applyNumberFormat="1" applyFont="1" applyBorder="1" applyAlignment="1">
      <alignment horizontal="right" vertical="top"/>
    </xf>
    <xf numFmtId="0" fontId="3" fillId="0" borderId="2" xfId="0" applyFont="1" applyBorder="1" applyAlignment="1">
      <alignment wrapText="1"/>
    </xf>
    <xf numFmtId="3" fontId="3" fillId="0" borderId="2" xfId="0" applyNumberFormat="1" applyFont="1" applyBorder="1" applyAlignment="1">
      <alignment wrapText="1"/>
    </xf>
    <xf numFmtId="3" fontId="3" fillId="0" borderId="2" xfId="0" applyNumberFormat="1" applyFont="1" applyBorder="1"/>
    <xf numFmtId="37" fontId="1" fillId="0" borderId="2" xfId="0" applyNumberFormat="1" applyFont="1" applyBorder="1" applyAlignment="1">
      <alignment horizontal="right" wrapText="1"/>
    </xf>
    <xf numFmtId="3" fontId="3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0" fontId="4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Normal="100" workbookViewId="0">
      <selection activeCell="K1" sqref="K1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30" t="s">
        <v>0</v>
      </c>
      <c r="B1" s="32" t="s">
        <v>1</v>
      </c>
      <c r="C1" s="33"/>
      <c r="D1" s="33"/>
      <c r="E1" s="34"/>
      <c r="F1" s="32" t="s">
        <v>35</v>
      </c>
      <c r="G1" s="33"/>
      <c r="H1" s="33"/>
      <c r="I1" s="34"/>
      <c r="J1" s="13" t="s">
        <v>36</v>
      </c>
      <c r="K1" s="28" t="s">
        <v>37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1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4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1">
        <v>629</v>
      </c>
      <c r="E3" s="11">
        <v>4558</v>
      </c>
      <c r="F3" s="11">
        <v>1870</v>
      </c>
      <c r="G3" s="20">
        <v>1507</v>
      </c>
      <c r="H3" s="22">
        <v>497</v>
      </c>
      <c r="I3" s="26">
        <v>3874</v>
      </c>
      <c r="J3" s="17">
        <v>3614</v>
      </c>
      <c r="K3" s="15">
        <f>I3-J3</f>
        <v>260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40323</v>
      </c>
      <c r="C4" s="9">
        <v>15140</v>
      </c>
      <c r="D4" s="11">
        <v>14424</v>
      </c>
      <c r="E4" s="11">
        <v>69887</v>
      </c>
      <c r="F4" s="11">
        <v>34790</v>
      </c>
      <c r="G4" s="20">
        <v>12485</v>
      </c>
      <c r="H4" s="23">
        <v>11659</v>
      </c>
      <c r="I4" s="26">
        <v>58934</v>
      </c>
      <c r="J4" s="11">
        <v>11398</v>
      </c>
      <c r="K4" s="15">
        <f t="shared" ref="K4:K27" si="0">I4-J4</f>
        <v>47536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1">
        <v>5213</v>
      </c>
      <c r="E5" s="11">
        <v>57208</v>
      </c>
      <c r="F5" s="11">
        <v>39733</v>
      </c>
      <c r="G5" s="20">
        <v>1803</v>
      </c>
      <c r="H5" s="23">
        <v>3428</v>
      </c>
      <c r="I5" s="26">
        <v>44964</v>
      </c>
      <c r="J5" s="11">
        <f>33249+3321</f>
        <v>36570</v>
      </c>
      <c r="K5" s="15">
        <f t="shared" si="0"/>
        <v>8394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62545</v>
      </c>
      <c r="C6" s="9">
        <v>16170</v>
      </c>
      <c r="D6" s="11">
        <v>13301</v>
      </c>
      <c r="E6" s="11">
        <v>92016</v>
      </c>
      <c r="F6" s="11">
        <v>54139</v>
      </c>
      <c r="G6" s="20">
        <v>13282</v>
      </c>
      <c r="H6" s="23">
        <v>10512</v>
      </c>
      <c r="I6" s="26">
        <v>77933</v>
      </c>
      <c r="J6" s="17">
        <f>25979+12987</f>
        <v>38966</v>
      </c>
      <c r="K6" s="15">
        <f t="shared" si="0"/>
        <v>38967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1">
        <v>1869</v>
      </c>
      <c r="E7" s="11">
        <v>10385</v>
      </c>
      <c r="F7" s="11">
        <v>4818</v>
      </c>
      <c r="G7" s="20">
        <v>2595</v>
      </c>
      <c r="H7" s="23">
        <v>1519</v>
      </c>
      <c r="I7" s="26">
        <v>8932</v>
      </c>
      <c r="J7" s="11">
        <v>5662</v>
      </c>
      <c r="K7" s="15">
        <f t="shared" si="0"/>
        <v>3270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1">
        <v>299</v>
      </c>
      <c r="E8" s="11">
        <v>1686</v>
      </c>
      <c r="F8" s="11">
        <v>692</v>
      </c>
      <c r="G8" s="20">
        <v>492</v>
      </c>
      <c r="H8" s="22">
        <v>234</v>
      </c>
      <c r="I8" s="26">
        <v>1418</v>
      </c>
      <c r="J8" s="11">
        <v>1202</v>
      </c>
      <c r="K8" s="15">
        <f t="shared" si="0"/>
        <v>216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5873</v>
      </c>
      <c r="D9" s="11">
        <v>3083</v>
      </c>
      <c r="E9" s="11">
        <v>16903</v>
      </c>
      <c r="F9" s="11">
        <v>7029</v>
      </c>
      <c r="G9" s="20">
        <v>4934</v>
      </c>
      <c r="H9" s="23">
        <v>2481</v>
      </c>
      <c r="I9" s="26">
        <v>14444</v>
      </c>
      <c r="J9" s="11">
        <v>10558</v>
      </c>
      <c r="K9" s="15">
        <f t="shared" si="0"/>
        <v>3886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3366</v>
      </c>
      <c r="C10" s="9">
        <v>2409</v>
      </c>
      <c r="D10" s="11">
        <v>1227</v>
      </c>
      <c r="E10" s="11">
        <v>7002</v>
      </c>
      <c r="F10" s="11">
        <v>2818</v>
      </c>
      <c r="G10" s="20">
        <v>1969</v>
      </c>
      <c r="H10" s="23">
        <v>917</v>
      </c>
      <c r="I10" s="26">
        <v>5704</v>
      </c>
      <c r="J10" s="11">
        <v>1074</v>
      </c>
      <c r="K10" s="15">
        <f t="shared" si="0"/>
        <v>4630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1">
        <v>1926</v>
      </c>
      <c r="E11" s="11">
        <v>14217</v>
      </c>
      <c r="F11" s="11">
        <v>8717</v>
      </c>
      <c r="G11" s="20">
        <v>1654</v>
      </c>
      <c r="H11" s="23">
        <v>1428</v>
      </c>
      <c r="I11" s="26">
        <v>11799</v>
      </c>
      <c r="J11" s="11">
        <v>8571</v>
      </c>
      <c r="K11" s="15">
        <f t="shared" si="0"/>
        <v>3228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1565</v>
      </c>
      <c r="C12" s="9">
        <v>718</v>
      </c>
      <c r="D12" s="11">
        <v>275</v>
      </c>
      <c r="E12" s="11">
        <v>2558</v>
      </c>
      <c r="F12" s="11">
        <v>1355</v>
      </c>
      <c r="G12" s="20">
        <v>628</v>
      </c>
      <c r="H12" s="22">
        <v>229</v>
      </c>
      <c r="I12" s="26">
        <v>2212</v>
      </c>
      <c r="J12" s="11">
        <v>1764</v>
      </c>
      <c r="K12" s="15">
        <f t="shared" si="0"/>
        <v>448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17647</v>
      </c>
      <c r="C13" s="9">
        <v>6408</v>
      </c>
      <c r="D13" s="11">
        <v>5263</v>
      </c>
      <c r="E13" s="11">
        <v>29318</v>
      </c>
      <c r="F13" s="11">
        <v>14948</v>
      </c>
      <c r="G13" s="20">
        <v>5172</v>
      </c>
      <c r="H13" s="24">
        <v>4008</v>
      </c>
      <c r="I13" s="26">
        <v>24128</v>
      </c>
      <c r="J13" s="17">
        <f>10024+3275</f>
        <v>13299</v>
      </c>
      <c r="K13" s="15">
        <f t="shared" si="0"/>
        <v>10829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1">
        <v>192</v>
      </c>
      <c r="E14" s="11">
        <v>1943</v>
      </c>
      <c r="F14" s="11">
        <v>716</v>
      </c>
      <c r="G14" s="20">
        <v>832</v>
      </c>
      <c r="H14" s="22">
        <v>160</v>
      </c>
      <c r="I14" s="26">
        <v>1708</v>
      </c>
      <c r="J14" s="11">
        <v>1550</v>
      </c>
      <c r="K14" s="15">
        <f t="shared" si="0"/>
        <v>158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6781</v>
      </c>
      <c r="D15" s="11">
        <v>4039</v>
      </c>
      <c r="E15" s="11">
        <v>22228</v>
      </c>
      <c r="F15" s="11">
        <v>9933</v>
      </c>
      <c r="G15" s="20">
        <v>5644</v>
      </c>
      <c r="H15" s="23">
        <v>3262</v>
      </c>
      <c r="I15" s="26">
        <v>18839</v>
      </c>
      <c r="J15" s="11">
        <v>9997</v>
      </c>
      <c r="K15" s="15">
        <f t="shared" si="0"/>
        <v>8842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5974</v>
      </c>
      <c r="D16" s="11">
        <v>7656</v>
      </c>
      <c r="E16" s="11">
        <v>40001</v>
      </c>
      <c r="F16" s="11">
        <v>22730</v>
      </c>
      <c r="G16" s="20">
        <v>4885</v>
      </c>
      <c r="H16" s="23">
        <v>6106</v>
      </c>
      <c r="I16" s="26">
        <v>33721</v>
      </c>
      <c r="J16" s="11">
        <v>27696</v>
      </c>
      <c r="K16" s="15">
        <f t="shared" si="0"/>
        <v>6025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1">
        <v>273</v>
      </c>
      <c r="E17" s="11">
        <v>2057</v>
      </c>
      <c r="F17" s="11">
        <v>1156</v>
      </c>
      <c r="G17" s="20">
        <v>405</v>
      </c>
      <c r="H17" s="22">
        <v>206</v>
      </c>
      <c r="I17" s="26">
        <v>1767</v>
      </c>
      <c r="J17" s="11">
        <v>1739</v>
      </c>
      <c r="K17" s="15">
        <f t="shared" si="0"/>
        <v>28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104568</v>
      </c>
      <c r="C18" s="9">
        <v>13901</v>
      </c>
      <c r="D18" s="11">
        <v>23674</v>
      </c>
      <c r="E18" s="11">
        <v>142143</v>
      </c>
      <c r="F18" s="11">
        <v>69775</v>
      </c>
      <c r="G18" s="20">
        <v>8385</v>
      </c>
      <c r="H18" s="23">
        <v>13367</v>
      </c>
      <c r="I18" s="26">
        <v>91527</v>
      </c>
      <c r="J18" s="11">
        <f>41604+30053</f>
        <v>71657</v>
      </c>
      <c r="K18" s="15">
        <f t="shared" si="0"/>
        <v>19870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69678</v>
      </c>
      <c r="C19" s="9">
        <v>3892</v>
      </c>
      <c r="D19" s="11">
        <v>8345</v>
      </c>
      <c r="E19" s="11">
        <v>81915</v>
      </c>
      <c r="F19" s="11">
        <v>50931</v>
      </c>
      <c r="G19" s="20">
        <v>2622</v>
      </c>
      <c r="H19" s="23">
        <v>4900</v>
      </c>
      <c r="I19" s="26">
        <v>58453</v>
      </c>
      <c r="J19" s="11">
        <f>23677+16886</f>
        <v>40563</v>
      </c>
      <c r="K19" s="15">
        <f>I19-J19</f>
        <v>17890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2197</v>
      </c>
      <c r="C20" s="9">
        <v>1462</v>
      </c>
      <c r="D20" s="11">
        <v>734</v>
      </c>
      <c r="E20" s="11">
        <v>4393</v>
      </c>
      <c r="F20" s="11">
        <v>1904</v>
      </c>
      <c r="G20" s="20">
        <v>1186</v>
      </c>
      <c r="H20" s="23">
        <v>581</v>
      </c>
      <c r="I20" s="26">
        <v>3671</v>
      </c>
      <c r="J20" s="18">
        <v>3557</v>
      </c>
      <c r="K20" s="15">
        <f>I20-J20</f>
        <v>114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4486</v>
      </c>
      <c r="C21" s="9">
        <v>2701</v>
      </c>
      <c r="D21" s="11">
        <v>1543</v>
      </c>
      <c r="E21" s="11">
        <v>8730</v>
      </c>
      <c r="F21" s="11">
        <v>3868</v>
      </c>
      <c r="G21" s="20">
        <v>2181</v>
      </c>
      <c r="H21" s="23">
        <v>1198</v>
      </c>
      <c r="I21" s="26">
        <v>7247</v>
      </c>
      <c r="J21" s="11">
        <f>5247+1593</f>
        <v>6840</v>
      </c>
      <c r="K21" s="15">
        <f>I21-J21</f>
        <v>407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1">
        <v>185</v>
      </c>
      <c r="E22" s="11">
        <v>1309</v>
      </c>
      <c r="F22" s="11">
        <v>595</v>
      </c>
      <c r="G22" s="20">
        <v>363</v>
      </c>
      <c r="H22" s="22">
        <v>142</v>
      </c>
      <c r="I22" s="26">
        <v>1100</v>
      </c>
      <c r="J22" s="11">
        <v>827</v>
      </c>
      <c r="K22" s="15">
        <f t="shared" si="0"/>
        <v>273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1">
        <v>865</v>
      </c>
      <c r="E23" s="11">
        <v>4712</v>
      </c>
      <c r="F23" s="11">
        <v>2317</v>
      </c>
      <c r="G23" s="20">
        <v>1098</v>
      </c>
      <c r="H23" s="23">
        <v>730</v>
      </c>
      <c r="I23" s="26">
        <v>4145</v>
      </c>
      <c r="J23" s="11">
        <v>2797</v>
      </c>
      <c r="K23" s="15">
        <f t="shared" si="0"/>
        <v>1348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3608</v>
      </c>
      <c r="D24" s="11">
        <v>2143</v>
      </c>
      <c r="E24" s="11">
        <v>11654</v>
      </c>
      <c r="F24" s="11">
        <v>5170</v>
      </c>
      <c r="G24" s="20">
        <v>3051</v>
      </c>
      <c r="H24" s="23">
        <v>1732</v>
      </c>
      <c r="I24" s="26">
        <v>9953</v>
      </c>
      <c r="J24" s="11">
        <v>5999</v>
      </c>
      <c r="K24" s="15">
        <f t="shared" si="0"/>
        <v>3954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3980</v>
      </c>
      <c r="C25" s="9">
        <v>2013</v>
      </c>
      <c r="D25" s="11">
        <v>1068</v>
      </c>
      <c r="E25" s="11">
        <v>7061</v>
      </c>
      <c r="F25" s="11">
        <v>3466</v>
      </c>
      <c r="G25" s="20">
        <v>1716</v>
      </c>
      <c r="H25" s="23">
        <v>837</v>
      </c>
      <c r="I25" s="26">
        <v>6019</v>
      </c>
      <c r="J25" s="11">
        <v>4149</v>
      </c>
      <c r="K25" s="15">
        <f t="shared" si="0"/>
        <v>1870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2822</v>
      </c>
      <c r="C26" s="9">
        <v>1874</v>
      </c>
      <c r="D26" s="11">
        <v>945</v>
      </c>
      <c r="E26" s="11">
        <v>5641</v>
      </c>
      <c r="F26" s="11">
        <v>2457</v>
      </c>
      <c r="G26" s="20">
        <v>1596</v>
      </c>
      <c r="H26" s="23">
        <v>768</v>
      </c>
      <c r="I26" s="26">
        <v>4821</v>
      </c>
      <c r="J26" s="11">
        <v>4063</v>
      </c>
      <c r="K26" s="15">
        <f t="shared" si="0"/>
        <v>758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438134</v>
      </c>
      <c r="C27" s="7">
        <v>102220</v>
      </c>
      <c r="D27" s="12">
        <v>99171</v>
      </c>
      <c r="E27" s="12">
        <v>639525</v>
      </c>
      <c r="F27" s="12">
        <v>345927</v>
      </c>
      <c r="G27" s="21">
        <v>80485</v>
      </c>
      <c r="H27" s="25">
        <v>70901</v>
      </c>
      <c r="I27" s="27">
        <v>497313</v>
      </c>
      <c r="J27" s="12">
        <f>SUM(J3:J26)</f>
        <v>314112</v>
      </c>
      <c r="K27" s="16">
        <f t="shared" si="0"/>
        <v>183201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5" t="s">
        <v>33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9" t="s">
        <v>34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9" t="s">
        <v>31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3.5" customHeight="1">
      <c r="A32" s="29" t="s">
        <v>32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1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0.7" right="0.7" top="0.75" bottom="0.75" header="0.3" footer="0.3"/>
  <pageSetup paperSize="5" scale="99" fitToHeight="0" orientation="landscape" r:id="rId1"/>
  <headerFooter>
    <oddHeader>&amp;C&amp;"-,Bold"&amp;20Mail-in Ballots Left to Count through November 12,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Sat., Nov. 12th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2022-11-13T18:54:10Z</dcterms:modified>
</cp:coreProperties>
</file>