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8_{CC840400-6CD5-4F2B-A0F9-101E53D0CE2E}" xr6:coauthVersionLast="47" xr6:coauthVersionMax="47" xr10:uidLastSave="{00000000-0000-0000-0000-000000000000}"/>
  <bookViews>
    <workbookView xWindow="2160" yWindow="165" windowWidth="22545" windowHeight="15075" xr2:uid="{00000000-000D-0000-FFFF-FFFF00000000}"/>
  </bookViews>
  <sheets>
    <sheet name="Thur., Nov. 17t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" i="6" l="1"/>
  <c r="J18" i="6"/>
  <c r="K18" i="6" s="1"/>
  <c r="J4" i="6"/>
  <c r="J24" i="6"/>
  <c r="J6" i="6"/>
  <c r="K24" i="6"/>
  <c r="J23" i="6"/>
  <c r="K23" i="6" s="1"/>
  <c r="K19" i="6"/>
  <c r="J15" i="6"/>
  <c r="K15" i="6" s="1"/>
  <c r="J13" i="6"/>
  <c r="J10" i="6"/>
  <c r="J7" i="6"/>
  <c r="J5" i="6"/>
  <c r="K5" i="6" s="1"/>
  <c r="K4" i="6"/>
  <c r="K6" i="6"/>
  <c r="K16" i="6"/>
  <c r="K13" i="6"/>
  <c r="K26" i="6"/>
  <c r="K25" i="6"/>
  <c r="K22" i="6"/>
  <c r="K21" i="6"/>
  <c r="K20" i="6"/>
  <c r="K17" i="6"/>
  <c r="K14" i="6"/>
  <c r="K12" i="6"/>
  <c r="K11" i="6"/>
  <c r="K10" i="6"/>
  <c r="K9" i="6"/>
  <c r="K8" i="6"/>
  <c r="K7" i="6"/>
  <c r="K3" i="6"/>
  <c r="J21" i="6" l="1"/>
  <c r="J27" i="6" l="1"/>
  <c r="K27" i="6" s="1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<sst xmlns="http://schemas.openxmlformats.org/spreadsheetml/2006/main" count="44" uniqueCount="38">
  <si>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</si>
  <si>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</si>
  <si>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</si>
  <si>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</si>
  <si>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</si>
  <si>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</si>
  <si>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</si>
  <si>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</si>
  <si>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</si>
  <si>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</si>
  <si>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</si>
  <si>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</si>
  <si>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</si>
  <si>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</si>
  <si>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</si>
  <si>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</si>
  <si>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</si>
  <si>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</si>
  <si>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</si>
  <si>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</si>
  <si>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</si>
  <si>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</si>
  <si>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</si>
  <si>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</si>
  <si>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</si>
  <si>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</si>
  <si>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</si>
  <si>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</si>
  <si>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</si>
  <si>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</si>
  <si>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</si>
  <si>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</si>
  <si>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*From the statewide database used to issue and process mail-in ballots.This number is current as of November 8th, which was the last day that a mail-in ballot could be issued. </t>
  </si>
  <si>
    <t xml:space="preserve">** From the statewide database used to issue and process mail-in ballots. This number will be updated daily.  </t>
  </si>
  <si>
    <t>Total Ballots Received through November 17**</t>
  </si>
  <si>
    <t>Cumulative Total Mail-In Ballots canvassed through November 17***</t>
  </si>
  <si>
    <t>Ballots left to count as of November 17- End of Day****</t>
  </si>
  <si>
    <t xml:space="preserve">**** Ballots left to count is the number of ballots received minus the number of ballots canvassed. For most local boards, the true number of mail-in ballots left to count will be smaller than the number listed becuase some mail-in ballots are counted during the provisional canvass (which took place on November 16th and/or 17th in for most local boards), in order to keep private the identity of provisional voters. When the mail-in ballot canvass for each local board is complete, the mail-in ballots left to count is zeroed out, as there are no more ballots left to count.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</si>
</sst>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4" fillId="0" borderId="2" xfId="0" applyNumberFormat="1" applyFont="1" applyBorder="1" applyAlignment="1">
      <alignment horizontal="right" vertical="top"/>
    </xf>
    <xf numFmtId="37" fontId="4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1" fillId="0" borderId="1" xfId="0" applyFont="1" applyBorder="1" applyAlignment="1">
      <alignment horizontal="center" wrapText="1"/>
    </xf>
    <xf numFmtId="3" fontId="0" fillId="0" borderId="7" xfId="0" applyNumberFormat="1" applyBorder="1"/>
    <xf numFmtId="3" fontId="4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37" fontId="3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0" fontId="3" fillId="0" borderId="0" xfId="0" applyFont="1"/>
    <xf numFmtId="0" fontId="4" fillId="2" borderId="7" xfId="0" applyFont="1" applyFill="1" applyBorder="1" applyAlignment="1">
      <alignment horizontal="center" vertical="center" wrapText="1"/>
    </xf>
    <xf numFmtId="37" fontId="0" fillId="0" borderId="7" xfId="0" applyNumberFormat="1" applyBorder="1" applyAlignment="1">
      <alignment horizontal="right" vertical="top"/>
    </xf>
    <xf numFmtId="37" fontId="4" fillId="0" borderId="7" xfId="0" applyNumberFormat="1" applyFont="1" applyBorder="1" applyAlignment="1">
      <alignment horizontal="right" vertical="top"/>
    </xf>
    <xf numFmtId="0" fontId="3" fillId="0" borderId="2" xfId="0" applyFont="1" applyBorder="1" applyAlignment="1">
      <alignment wrapText="1"/>
    </xf>
    <xf numFmtId="3" fontId="3" fillId="0" borderId="2" xfId="0" applyNumberFormat="1" applyFont="1" applyBorder="1" applyAlignment="1">
      <alignment wrapText="1"/>
    </xf>
    <xf numFmtId="3" fontId="3" fillId="0" borderId="2" xfId="0" applyNumberFormat="1" applyFont="1" applyBorder="1"/>
    <xf numFmtId="37" fontId="1" fillId="0" borderId="2" xfId="0" applyNumberFormat="1" applyFont="1" applyBorder="1" applyAlignment="1">
      <alignment horizontal="right" wrapText="1"/>
    </xf>
    <xf numFmtId="3" fontId="3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3" fontId="5" fillId="0" borderId="7" xfId="0" applyNumberFormat="1" applyFont="1" applyBorder="1"/>
    <xf numFmtId="0" fontId="3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zoomScale="90" zoomScaleNormal="100" zoomScalePageLayoutView="90" workbookViewId="0">
      <selection activeCell="A32" sqref="A32:K32"/>
    </sheetView>
  </sheetViews>
  <sheetFormatPr defaultColWidth="12.5703125" defaultRowHeight="15.75" customHeight="1"/>
  <cols>
    <col min="1" max="1" width="19.85546875" customWidth="1"/>
    <col min="2" max="2" width="12.140625" customWidth="1"/>
    <col min="3" max="3" width="12.28515625" customWidth="1"/>
    <col min="4" max="4" width="12.5703125" customWidth="1"/>
    <col min="5" max="5" width="10.28515625" customWidth="1"/>
    <col min="6" max="6" width="12.85546875" customWidth="1"/>
    <col min="7" max="7" width="12.5703125" customWidth="1"/>
    <col min="8" max="8" width="12" customWidth="1"/>
    <col min="9" max="9" width="12.42578125" customWidth="1"/>
    <col min="10" max="10" width="19" customWidth="1"/>
    <col min="11" max="11" width="16.28515625" customWidth="1"/>
  </cols>
  <sheetData>
    <row r="1" spans="1:33" ht="61.5" customHeight="1">
      <c r="A1" s="29" t="s">
        <v>0</v>
      </c>
      <c r="B1" s="31" t="s">
        <v>1</v>
      </c>
      <c r="C1" s="32"/>
      <c r="D1" s="32"/>
      <c r="E1" s="33"/>
      <c r="F1" s="31" t="s">
        <v>34</v>
      </c>
      <c r="G1" s="32"/>
      <c r="H1" s="32"/>
      <c r="I1" s="33"/>
      <c r="J1" s="13" t="s">
        <v>35</v>
      </c>
      <c r="K1" s="18" t="s">
        <v>36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0"/>
      <c r="B2" s="3" t="s">
        <v>2</v>
      </c>
      <c r="C2" s="3" t="s">
        <v>3</v>
      </c>
      <c r="D2" s="3" t="s">
        <v>4</v>
      </c>
      <c r="E2" s="3" t="s">
        <v>5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5</v>
      </c>
      <c r="K2" s="14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1770</v>
      </c>
      <c r="D3" s="11">
        <v>629</v>
      </c>
      <c r="E3" s="11">
        <v>4558</v>
      </c>
      <c r="F3" s="11">
        <v>1877</v>
      </c>
      <c r="G3" s="19">
        <v>1512</v>
      </c>
      <c r="H3" s="21">
        <v>500</v>
      </c>
      <c r="I3" s="25">
        <v>3889</v>
      </c>
      <c r="J3" s="27">
        <v>3614</v>
      </c>
      <c r="K3" s="15">
        <f>I3-J3</f>
        <v>275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40324</v>
      </c>
      <c r="C4" s="9">
        <v>15141</v>
      </c>
      <c r="D4" s="11">
        <v>14425</v>
      </c>
      <c r="E4" s="11">
        <v>69890</v>
      </c>
      <c r="F4" s="11">
        <v>35345</v>
      </c>
      <c r="G4" s="19">
        <v>12671</v>
      </c>
      <c r="H4" s="22">
        <v>11957</v>
      </c>
      <c r="I4" s="25">
        <v>59973</v>
      </c>
      <c r="J4" s="11">
        <f>11398+41174</f>
        <v>52572</v>
      </c>
      <c r="K4" s="15">
        <f t="shared" ref="K4:K27" si="0">I4-J4</f>
        <v>7401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49352</v>
      </c>
      <c r="C5" s="9">
        <v>2643</v>
      </c>
      <c r="D5" s="11">
        <v>5213</v>
      </c>
      <c r="E5" s="11">
        <v>57208</v>
      </c>
      <c r="F5" s="11">
        <v>41238</v>
      </c>
      <c r="G5" s="19">
        <v>1870</v>
      </c>
      <c r="H5" s="22">
        <v>3630</v>
      </c>
      <c r="I5" s="25">
        <v>46738</v>
      </c>
      <c r="J5" s="11">
        <f>33249+7912</f>
        <v>41161</v>
      </c>
      <c r="K5" s="15">
        <f t="shared" si="0"/>
        <v>5577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62561</v>
      </c>
      <c r="C6" s="9">
        <v>16178</v>
      </c>
      <c r="D6" s="11">
        <v>13307</v>
      </c>
      <c r="E6" s="11">
        <v>92046</v>
      </c>
      <c r="F6" s="11">
        <v>54662</v>
      </c>
      <c r="G6" s="19">
        <v>13361</v>
      </c>
      <c r="H6" s="22">
        <v>10642</v>
      </c>
      <c r="I6" s="25">
        <v>78665</v>
      </c>
      <c r="J6" s="27">
        <f>25979+35509</f>
        <v>61488</v>
      </c>
      <c r="K6" s="15">
        <f t="shared" si="0"/>
        <v>17177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5417</v>
      </c>
      <c r="C7" s="9">
        <v>3099</v>
      </c>
      <c r="D7" s="11">
        <v>1869</v>
      </c>
      <c r="E7" s="11">
        <v>10385</v>
      </c>
      <c r="F7" s="11">
        <v>4852</v>
      </c>
      <c r="G7" s="19">
        <v>2608</v>
      </c>
      <c r="H7" s="22">
        <v>1542</v>
      </c>
      <c r="I7" s="25">
        <v>9002</v>
      </c>
      <c r="J7" s="11">
        <f>5662+3189</f>
        <v>8851</v>
      </c>
      <c r="K7" s="15">
        <f t="shared" si="0"/>
        <v>151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594</v>
      </c>
      <c r="D8" s="11">
        <v>299</v>
      </c>
      <c r="E8" s="11">
        <v>1686</v>
      </c>
      <c r="F8" s="11">
        <v>694</v>
      </c>
      <c r="G8" s="19">
        <v>494</v>
      </c>
      <c r="H8" s="21">
        <v>235</v>
      </c>
      <c r="I8" s="25">
        <v>1423</v>
      </c>
      <c r="J8" s="11">
        <v>1202</v>
      </c>
      <c r="K8" s="15">
        <f t="shared" si="0"/>
        <v>221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7947</v>
      </c>
      <c r="C9" s="9">
        <v>5872</v>
      </c>
      <c r="D9" s="11">
        <v>3083</v>
      </c>
      <c r="E9" s="11">
        <v>16902</v>
      </c>
      <c r="F9" s="11">
        <v>7095</v>
      </c>
      <c r="G9" s="19">
        <v>4968</v>
      </c>
      <c r="H9" s="22">
        <v>2504</v>
      </c>
      <c r="I9" s="25">
        <v>14567</v>
      </c>
      <c r="J9" s="11">
        <v>10558</v>
      </c>
      <c r="K9" s="15">
        <f t="shared" si="0"/>
        <v>4009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3367</v>
      </c>
      <c r="C10" s="9">
        <v>2408</v>
      </c>
      <c r="D10" s="11">
        <v>1227</v>
      </c>
      <c r="E10" s="11">
        <v>7002</v>
      </c>
      <c r="F10" s="11">
        <v>2851</v>
      </c>
      <c r="G10" s="19">
        <v>1979</v>
      </c>
      <c r="H10" s="22">
        <v>925</v>
      </c>
      <c r="I10" s="25">
        <v>5755</v>
      </c>
      <c r="J10" s="11">
        <f>1074+1947</f>
        <v>3021</v>
      </c>
      <c r="K10" s="15">
        <f t="shared" si="0"/>
        <v>2734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10236</v>
      </c>
      <c r="C11" s="9">
        <v>2055</v>
      </c>
      <c r="D11" s="11">
        <v>1926</v>
      </c>
      <c r="E11" s="11">
        <v>14217</v>
      </c>
      <c r="F11" s="11">
        <v>8775</v>
      </c>
      <c r="G11" s="19">
        <v>1660</v>
      </c>
      <c r="H11" s="22">
        <v>1439</v>
      </c>
      <c r="I11" s="25">
        <v>11874</v>
      </c>
      <c r="J11" s="11">
        <v>8571</v>
      </c>
      <c r="K11" s="15">
        <f t="shared" si="0"/>
        <v>3303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1563</v>
      </c>
      <c r="C12" s="9">
        <v>718</v>
      </c>
      <c r="D12" s="11">
        <v>275</v>
      </c>
      <c r="E12" s="11">
        <v>2556</v>
      </c>
      <c r="F12" s="11">
        <v>1369</v>
      </c>
      <c r="G12" s="19">
        <v>632</v>
      </c>
      <c r="H12" s="21">
        <v>230</v>
      </c>
      <c r="I12" s="25">
        <v>2231</v>
      </c>
      <c r="J12" s="11">
        <v>1764</v>
      </c>
      <c r="K12" s="15">
        <f t="shared" si="0"/>
        <v>467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17649</v>
      </c>
      <c r="C13" s="9">
        <v>6408</v>
      </c>
      <c r="D13" s="11">
        <v>5263</v>
      </c>
      <c r="E13" s="11">
        <v>29320</v>
      </c>
      <c r="F13" s="11">
        <v>15455</v>
      </c>
      <c r="G13" s="19">
        <v>5321</v>
      </c>
      <c r="H13" s="23">
        <v>4206</v>
      </c>
      <c r="I13" s="25">
        <v>24982</v>
      </c>
      <c r="J13" s="27">
        <f>10024+9827</f>
        <v>19851</v>
      </c>
      <c r="K13" s="15">
        <f>I13-J13</f>
        <v>5131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793</v>
      </c>
      <c r="C14" s="9">
        <v>958</v>
      </c>
      <c r="D14" s="11">
        <v>192</v>
      </c>
      <c r="E14" s="11">
        <v>1943</v>
      </c>
      <c r="F14" s="11">
        <v>723</v>
      </c>
      <c r="G14" s="19">
        <v>835</v>
      </c>
      <c r="H14" s="21">
        <v>162</v>
      </c>
      <c r="I14" s="25">
        <v>1720</v>
      </c>
      <c r="J14" s="11">
        <v>1550</v>
      </c>
      <c r="K14" s="15">
        <f t="shared" si="0"/>
        <v>170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11408</v>
      </c>
      <c r="C15" s="9">
        <v>6782</v>
      </c>
      <c r="D15" s="11">
        <v>4039</v>
      </c>
      <c r="E15" s="11">
        <v>22229</v>
      </c>
      <c r="F15" s="11">
        <v>9991</v>
      </c>
      <c r="G15" s="19">
        <v>5668</v>
      </c>
      <c r="H15" s="22">
        <v>3280</v>
      </c>
      <c r="I15" s="25">
        <v>18939</v>
      </c>
      <c r="J15" s="11">
        <f>9997+3785</f>
        <v>13782</v>
      </c>
      <c r="K15" s="15">
        <f t="shared" si="0"/>
        <v>5157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26371</v>
      </c>
      <c r="C16" s="9">
        <v>5972</v>
      </c>
      <c r="D16" s="11">
        <v>7656</v>
      </c>
      <c r="E16" s="11">
        <v>39999</v>
      </c>
      <c r="F16" s="11">
        <v>23000</v>
      </c>
      <c r="G16" s="19">
        <v>4927</v>
      </c>
      <c r="H16" s="22">
        <v>6189</v>
      </c>
      <c r="I16" s="25">
        <v>34116</v>
      </c>
      <c r="J16" s="11">
        <v>27696</v>
      </c>
      <c r="K16" s="15">
        <f>I16-J16</f>
        <v>6420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1305</v>
      </c>
      <c r="C17" s="9">
        <v>479</v>
      </c>
      <c r="D17" s="11">
        <v>273</v>
      </c>
      <c r="E17" s="11">
        <v>2057</v>
      </c>
      <c r="F17" s="11">
        <v>1177</v>
      </c>
      <c r="G17" s="19">
        <v>413</v>
      </c>
      <c r="H17" s="21">
        <v>214</v>
      </c>
      <c r="I17" s="25">
        <v>1804</v>
      </c>
      <c r="J17" s="11">
        <v>1739</v>
      </c>
      <c r="K17" s="15">
        <f t="shared" si="0"/>
        <v>65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104565</v>
      </c>
      <c r="C18" s="9">
        <v>13900</v>
      </c>
      <c r="D18" s="11">
        <v>23674</v>
      </c>
      <c r="E18" s="11">
        <v>142139</v>
      </c>
      <c r="F18" s="11">
        <v>85296</v>
      </c>
      <c r="G18" s="19">
        <v>10273</v>
      </c>
      <c r="H18" s="22">
        <v>17293</v>
      </c>
      <c r="I18" s="25">
        <v>112862</v>
      </c>
      <c r="J18" s="11">
        <f>41604+55506</f>
        <v>97110</v>
      </c>
      <c r="K18" s="15">
        <f t="shared" si="0"/>
        <v>15752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69674</v>
      </c>
      <c r="C19" s="9">
        <v>3892</v>
      </c>
      <c r="D19" s="11">
        <v>8345</v>
      </c>
      <c r="E19" s="11">
        <v>81911</v>
      </c>
      <c r="F19" s="11">
        <v>57547</v>
      </c>
      <c r="G19" s="19">
        <v>2965</v>
      </c>
      <c r="H19" s="22">
        <v>5960</v>
      </c>
      <c r="I19" s="25">
        <v>66472</v>
      </c>
      <c r="J19" s="11">
        <f>23677+35925</f>
        <v>59602</v>
      </c>
      <c r="K19" s="15">
        <f t="shared" si="0"/>
        <v>6870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2191</v>
      </c>
      <c r="C20" s="9">
        <v>1461</v>
      </c>
      <c r="D20" s="11">
        <v>734</v>
      </c>
      <c r="E20" s="11">
        <v>4386</v>
      </c>
      <c r="F20" s="11">
        <v>1967</v>
      </c>
      <c r="G20" s="19">
        <v>1214</v>
      </c>
      <c r="H20" s="22">
        <v>605</v>
      </c>
      <c r="I20" s="25">
        <v>3786</v>
      </c>
      <c r="J20" s="27">
        <v>3557</v>
      </c>
      <c r="K20" s="15">
        <f t="shared" si="0"/>
        <v>229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4483</v>
      </c>
      <c r="C21" s="9">
        <v>2698</v>
      </c>
      <c r="D21" s="11">
        <v>1541</v>
      </c>
      <c r="E21" s="11">
        <v>8722</v>
      </c>
      <c r="F21" s="11">
        <v>3896</v>
      </c>
      <c r="G21" s="19">
        <v>2201</v>
      </c>
      <c r="H21" s="22">
        <v>1220</v>
      </c>
      <c r="I21" s="25">
        <v>7317</v>
      </c>
      <c r="J21" s="11">
        <f>5247+1593</f>
        <v>6840</v>
      </c>
      <c r="K21" s="15">
        <f t="shared" si="0"/>
        <v>477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691</v>
      </c>
      <c r="C22" s="9">
        <v>433</v>
      </c>
      <c r="D22" s="11">
        <v>185</v>
      </c>
      <c r="E22" s="11">
        <v>1309</v>
      </c>
      <c r="F22" s="11">
        <v>596</v>
      </c>
      <c r="G22" s="19">
        <v>368</v>
      </c>
      <c r="H22" s="21">
        <v>144</v>
      </c>
      <c r="I22" s="25">
        <v>1108</v>
      </c>
      <c r="J22" s="11">
        <v>827</v>
      </c>
      <c r="K22" s="15">
        <f t="shared" si="0"/>
        <v>281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2582</v>
      </c>
      <c r="C23" s="9">
        <v>1265</v>
      </c>
      <c r="D23" s="11">
        <v>865</v>
      </c>
      <c r="E23" s="11">
        <v>4712</v>
      </c>
      <c r="F23" s="11">
        <v>2362</v>
      </c>
      <c r="G23" s="19">
        <v>1121</v>
      </c>
      <c r="H23" s="22">
        <v>746</v>
      </c>
      <c r="I23" s="25">
        <v>4229</v>
      </c>
      <c r="J23" s="11">
        <f>2797+800</f>
        <v>3597</v>
      </c>
      <c r="K23" s="15">
        <f t="shared" si="0"/>
        <v>632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5903</v>
      </c>
      <c r="C24" s="9">
        <v>3607</v>
      </c>
      <c r="D24" s="11">
        <v>2142</v>
      </c>
      <c r="E24" s="11">
        <v>11652</v>
      </c>
      <c r="F24" s="11">
        <v>5224</v>
      </c>
      <c r="G24" s="19">
        <v>3071</v>
      </c>
      <c r="H24" s="22">
        <v>1751</v>
      </c>
      <c r="I24" s="25">
        <v>10046</v>
      </c>
      <c r="J24" s="11">
        <f>5999 + 3627</f>
        <v>9626</v>
      </c>
      <c r="K24" s="15">
        <f t="shared" si="0"/>
        <v>420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3967</v>
      </c>
      <c r="C25" s="9">
        <v>2003</v>
      </c>
      <c r="D25" s="11">
        <v>1065</v>
      </c>
      <c r="E25" s="11">
        <v>7035</v>
      </c>
      <c r="F25" s="11">
        <v>3492</v>
      </c>
      <c r="G25" s="19">
        <v>1723</v>
      </c>
      <c r="H25" s="22">
        <v>844</v>
      </c>
      <c r="I25" s="25">
        <v>6059</v>
      </c>
      <c r="J25" s="11">
        <v>4149</v>
      </c>
      <c r="K25" s="15">
        <f t="shared" si="0"/>
        <v>1910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2824</v>
      </c>
      <c r="C26" s="9">
        <v>1874</v>
      </c>
      <c r="D26" s="11">
        <v>945</v>
      </c>
      <c r="E26" s="11">
        <v>5643</v>
      </c>
      <c r="F26" s="11">
        <v>2492</v>
      </c>
      <c r="G26" s="19">
        <v>1634</v>
      </c>
      <c r="H26" s="22">
        <v>786</v>
      </c>
      <c r="I26" s="25">
        <v>4912</v>
      </c>
      <c r="J26" s="11">
        <v>4063</v>
      </c>
      <c r="K26" s="15">
        <f t="shared" si="0"/>
        <v>849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438125</v>
      </c>
      <c r="C27" s="7">
        <v>102210</v>
      </c>
      <c r="D27" s="12">
        <v>99172</v>
      </c>
      <c r="E27" s="12">
        <v>639507</v>
      </c>
      <c r="F27" s="12">
        <v>371976</v>
      </c>
      <c r="G27" s="20">
        <v>83489</v>
      </c>
      <c r="H27" s="24">
        <v>77004</v>
      </c>
      <c r="I27" s="26">
        <v>532469</v>
      </c>
      <c r="J27" s="12">
        <f>SUM(J3:J26)</f>
        <v>446791</v>
      </c>
      <c r="K27" s="16">
        <f t="shared" si="0"/>
        <v>85678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34" t="s">
        <v>32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" customHeight="1">
      <c r="A30" s="28" t="s">
        <v>33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8" t="s">
        <v>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60" customHeight="1">
      <c r="A32" s="28" t="s">
        <v>37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1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31:K31"/>
    <mergeCell ref="A32:K32"/>
    <mergeCell ref="A1:A2"/>
    <mergeCell ref="B1:E1"/>
    <mergeCell ref="F1:I1"/>
    <mergeCell ref="A29:K29"/>
    <mergeCell ref="A30:K30"/>
  </mergeCells>
  <pageMargins left="1" right="1" top="0.75" bottom="0.75" header="0.3" footer="0.3"/>
  <pageSetup paperSize="5" scale="94" fitToHeight="0" orientation="landscape" r:id="rId1"/>
  <headerFooter>
    <oddHeader>&amp;C&amp;"-,Bold"&amp;20Mail-in Ballots Left to Count through November 17,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Thur., Nov. 17th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2022-11-18T00:56:17Z</cp:lastPrinted>
  <dcterms:created xsi:type="dcterms:W3CDTF">2022-07-27T19:38:38Z</dcterms:created>
  <dcterms:modified xsi:type="dcterms:W3CDTF">2022-11-18T17:57:05Z</dcterms:modified>
</cp:coreProperties>
</file>