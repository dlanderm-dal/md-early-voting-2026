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H:\THartman\My Projects\Election Specific Info\2022 General Election\MIB left to count\Daily Reports for posting\"/>
    </mc:Choice>
  </mc:AlternateContent>
  <xr:revisionPtr revIDLastSave="0" documentId="13_ncr:1_{A5DE234A-71C4-4E57-AB7D-AD8B9586C5B6}" xr6:coauthVersionLast="47" xr6:coauthVersionMax="47" xr10:uidLastSave="{00000000-0000-0000-0000-000000000000}"/>
  <bookViews>
    <workbookView xWindow="2370" yWindow="120" windowWidth="22305" windowHeight="15435" xr2:uid="{00000000-000D-0000-FFFF-FFFF00000000}"/>
  </bookViews>
  <sheets>
    <sheet name="MIB- Mon., Nov. 8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7" i="6" l="1"/>
  <c r="K27" i="6" s="1"/>
  <c r="K21" i="6"/>
  <c r="K20" i="6"/>
  <c r="K19" i="6"/>
  <c r="K26" i="6"/>
  <c r="K25" i="6"/>
  <c r="K24" i="6"/>
  <c r="K23" i="6"/>
  <c r="K22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</calcChain>
</file>

<file path=xl/sharedStrings.xml><?xml version="1.0" encoding="utf-8"?>
<sst xmlns="http://schemas.openxmlformats.org/spreadsheetml/2006/main" count="44" uniqueCount="38">
  <si>
    <t>County</t>
  </si>
  <si>
    <t>Ballots Sent*</t>
  </si>
  <si>
    <t>Dem</t>
  </si>
  <si>
    <t>Rep</t>
  </si>
  <si>
    <t>Other</t>
  </si>
  <si>
    <t>Total</t>
  </si>
  <si>
    <t>Allegany</t>
  </si>
  <si>
    <t>Anne Arundel</t>
  </si>
  <si>
    <t>Baltimore City</t>
  </si>
  <si>
    <t>Baltimore County</t>
  </si>
  <si>
    <t>Calvert</t>
  </si>
  <si>
    <t>Caroline</t>
  </si>
  <si>
    <t>Carroll</t>
  </si>
  <si>
    <t>Cecil</t>
  </si>
  <si>
    <t>Charles</t>
  </si>
  <si>
    <t>Dorchester</t>
  </si>
  <si>
    <t>Frederick</t>
  </si>
  <si>
    <t>Garrett</t>
  </si>
  <si>
    <t>Harford</t>
  </si>
  <si>
    <t>Howard</t>
  </si>
  <si>
    <t>Kent</t>
  </si>
  <si>
    <t>Montgomery</t>
  </si>
  <si>
    <t>Prince George's</t>
  </si>
  <si>
    <t>Queen Anne's</t>
  </si>
  <si>
    <t>Saint Mary's</t>
  </si>
  <si>
    <t>Somerset</t>
  </si>
  <si>
    <t>Talbot</t>
  </si>
  <si>
    <t>Washington</t>
  </si>
  <si>
    <t>Wicomico</t>
  </si>
  <si>
    <t>Worcester</t>
  </si>
  <si>
    <t>Statewide</t>
  </si>
  <si>
    <t xml:space="preserve">*** Number reported from the voting system. This number will be updated as local boards count ballots. </t>
  </si>
  <si>
    <t xml:space="preserve">**** Ballots left to count is the number of ballots received minus the number of ballots canvassed. </t>
  </si>
  <si>
    <t>Cumulative Total Mail-In Ballots canvassed through November 8***</t>
  </si>
  <si>
    <t>Total Ballots Received through November 08**</t>
  </si>
  <si>
    <t>Ballots left to count as of November 8- End of Day****</t>
  </si>
  <si>
    <t xml:space="preserve">*From the statewide database used to issue and process mail-in ballots.This number is current as of November 8th, which was the last day that a mail-in ballot could be issued. </t>
  </si>
  <si>
    <t xml:space="preserve">** From the statewide database used to issue and process mail-in ballots. This number will be updated daily.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</si>
</sst>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Roboto"/>
    </font>
    <font>
      <sz val="10"/>
      <color rgb="FF000000"/>
      <name val="Roboto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wrapText="1"/>
    </xf>
    <xf numFmtId="37" fontId="0" fillId="0" borderId="2" xfId="0" applyNumberFormat="1" applyBorder="1" applyAlignment="1">
      <alignment horizontal="right" vertical="top"/>
    </xf>
    <xf numFmtId="37" fontId="5" fillId="0" borderId="2" xfId="0" applyNumberFormat="1" applyFont="1" applyBorder="1" applyAlignment="1">
      <alignment horizontal="right" vertical="top"/>
    </xf>
    <xf numFmtId="37" fontId="5" fillId="0" borderId="5" xfId="0" applyNumberFormat="1" applyFont="1" applyBorder="1" applyAlignment="1">
      <alignment horizontal="right" vertical="top"/>
    </xf>
    <xf numFmtId="37" fontId="0" fillId="0" borderId="6" xfId="0" applyNumberFormat="1" applyBorder="1" applyAlignment="1">
      <alignment horizontal="right" vertical="top"/>
    </xf>
    <xf numFmtId="37" fontId="0" fillId="0" borderId="5" xfId="0" applyNumberFormat="1" applyBorder="1" applyAlignment="1">
      <alignment horizontal="right" vertical="top"/>
    </xf>
    <xf numFmtId="0" fontId="1" fillId="0" borderId="1" xfId="0" applyFont="1" applyBorder="1" applyAlignment="1">
      <alignment horizontal="center" wrapText="1"/>
    </xf>
    <xf numFmtId="37" fontId="0" fillId="0" borderId="7" xfId="0" applyNumberFormat="1" applyBorder="1" applyAlignment="1">
      <alignment horizontal="right" vertical="top"/>
    </xf>
    <xf numFmtId="37" fontId="5" fillId="0" borderId="7" xfId="0" applyNumberFormat="1" applyFont="1" applyBorder="1" applyAlignment="1">
      <alignment horizontal="right" vertical="top"/>
    </xf>
    <xf numFmtId="3" fontId="0" fillId="0" borderId="7" xfId="0" applyNumberFormat="1" applyBorder="1"/>
    <xf numFmtId="3" fontId="5" fillId="0" borderId="7" xfId="0" applyNumberFormat="1" applyFont="1" applyBorder="1"/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2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wrapText="1"/>
    </xf>
    <xf numFmtId="3" fontId="4" fillId="0" borderId="2" xfId="0" applyNumberFormat="1" applyFont="1" applyBorder="1" applyAlignment="1">
      <alignment wrapText="1"/>
    </xf>
    <xf numFmtId="37" fontId="1" fillId="0" borderId="2" xfId="0" applyNumberFormat="1" applyFont="1" applyBorder="1" applyAlignment="1">
      <alignment horizontal="right" wrapText="1"/>
    </xf>
    <xf numFmtId="37" fontId="4" fillId="0" borderId="4" xfId="0" applyNumberFormat="1" applyFont="1" applyBorder="1" applyAlignment="1">
      <alignment wrapText="1"/>
    </xf>
    <xf numFmtId="37" fontId="1" fillId="0" borderId="4" xfId="0" applyNumberFormat="1" applyFont="1" applyBorder="1" applyAlignment="1">
      <alignment wrapText="1"/>
    </xf>
    <xf numFmtId="0" fontId="0" fillId="0" borderId="7" xfId="0" applyBorder="1"/>
    <xf numFmtId="3" fontId="6" fillId="0" borderId="7" xfId="0" applyNumberFormat="1" applyFont="1" applyBorder="1"/>
    <xf numFmtId="3" fontId="4" fillId="0" borderId="7" xfId="0" applyNumberFormat="1" applyFont="1" applyBorder="1" applyAlignment="1">
      <alignment wrapText="1"/>
    </xf>
    <xf numFmtId="3" fontId="1" fillId="0" borderId="7" xfId="0" applyNumberFormat="1" applyFont="1" applyBorder="1" applyAlignment="1">
      <alignment wrapText="1"/>
    </xf>
    <xf numFmtId="3" fontId="4" fillId="0" borderId="2" xfId="0" applyNumberFormat="1" applyFont="1" applyBorder="1"/>
    <xf numFmtId="0" fontId="4" fillId="0" borderId="7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AG1001"/>
  <sheetViews>
    <sheetView tabSelected="1" view="pageLayout" zoomScaleNormal="100" workbookViewId="0">
      <selection activeCell="I12" sqref="I12"/>
    </sheetView>
  </sheetViews>
  <sheetFormatPr defaultColWidth="12.5703125" defaultRowHeight="15.75" customHeight="1"/>
  <cols>
    <col min="1" max="1" width="19.85546875" customWidth="1"/>
    <col min="2" max="2" width="12.140625" customWidth="1"/>
    <col min="3" max="3" width="12.28515625" customWidth="1"/>
    <col min="4" max="4" width="12.5703125" customWidth="1"/>
    <col min="5" max="5" width="10.28515625" customWidth="1"/>
    <col min="6" max="6" width="12.85546875" customWidth="1"/>
    <col min="7" max="7" width="12.5703125" customWidth="1"/>
    <col min="8" max="8" width="12" customWidth="1"/>
    <col min="9" max="9" width="12.42578125" customWidth="1"/>
    <col min="10" max="10" width="19" customWidth="1"/>
    <col min="11" max="11" width="16.28515625" customWidth="1"/>
  </cols>
  <sheetData>
    <row r="1" spans="1:33" ht="61.5" customHeight="1">
      <c r="A1" s="29" t="s">
        <v>0</v>
      </c>
      <c r="B1" s="31" t="s">
        <v>1</v>
      </c>
      <c r="C1" s="32"/>
      <c r="D1" s="32"/>
      <c r="E1" s="33"/>
      <c r="F1" s="31" t="s">
        <v>34</v>
      </c>
      <c r="G1" s="32"/>
      <c r="H1" s="32"/>
      <c r="I1" s="33"/>
      <c r="J1" s="15" t="s">
        <v>33</v>
      </c>
      <c r="K1" s="17" t="s">
        <v>35</v>
      </c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12.75">
      <c r="A2" s="30"/>
      <c r="B2" s="3" t="s">
        <v>2</v>
      </c>
      <c r="C2" s="3" t="s">
        <v>3</v>
      </c>
      <c r="D2" s="3" t="s">
        <v>4</v>
      </c>
      <c r="E2" s="3" t="s">
        <v>5</v>
      </c>
      <c r="F2" s="10" t="s">
        <v>2</v>
      </c>
      <c r="G2" s="10" t="s">
        <v>3</v>
      </c>
      <c r="H2" s="10" t="s">
        <v>4</v>
      </c>
      <c r="I2" s="10" t="s">
        <v>5</v>
      </c>
      <c r="J2" s="10" t="s">
        <v>5</v>
      </c>
      <c r="K2" s="16" t="s">
        <v>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12.75">
      <c r="A3" s="4" t="s">
        <v>6</v>
      </c>
      <c r="B3" s="5">
        <v>2159</v>
      </c>
      <c r="C3" s="8">
        <v>1770</v>
      </c>
      <c r="D3" s="13">
        <v>629</v>
      </c>
      <c r="E3" s="13">
        <v>4558</v>
      </c>
      <c r="F3" s="13">
        <v>1806</v>
      </c>
      <c r="G3" s="11">
        <v>1445</v>
      </c>
      <c r="H3" s="18">
        <v>469</v>
      </c>
      <c r="I3" s="25">
        <v>3720</v>
      </c>
      <c r="J3" s="24">
        <v>1447</v>
      </c>
      <c r="K3" s="21">
        <f>I3-J3</f>
        <v>2273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2.75">
      <c r="A4" s="4" t="s">
        <v>7</v>
      </c>
      <c r="B4" s="5">
        <v>40323</v>
      </c>
      <c r="C4" s="9">
        <v>15140</v>
      </c>
      <c r="D4" s="13">
        <v>14424</v>
      </c>
      <c r="E4" s="13">
        <v>69887</v>
      </c>
      <c r="F4" s="13">
        <v>27367</v>
      </c>
      <c r="G4" s="11">
        <v>9830</v>
      </c>
      <c r="H4" s="19">
        <v>8441</v>
      </c>
      <c r="I4" s="25">
        <v>45638</v>
      </c>
      <c r="J4" s="23">
        <v>0</v>
      </c>
      <c r="K4" s="21">
        <f t="shared" ref="K4:K27" si="0">I4-J4</f>
        <v>45638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ht="12.75">
      <c r="A5" s="4" t="s">
        <v>8</v>
      </c>
      <c r="B5" s="5">
        <v>49352</v>
      </c>
      <c r="C5" s="9">
        <v>2643</v>
      </c>
      <c r="D5" s="13">
        <v>5213</v>
      </c>
      <c r="E5" s="13">
        <v>57208</v>
      </c>
      <c r="F5" s="13">
        <v>31277</v>
      </c>
      <c r="G5" s="11">
        <v>1491</v>
      </c>
      <c r="H5" s="19">
        <v>2422</v>
      </c>
      <c r="I5" s="25">
        <v>35190</v>
      </c>
      <c r="J5" s="13">
        <v>30257</v>
      </c>
      <c r="K5" s="21">
        <f t="shared" si="0"/>
        <v>4933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2.75">
      <c r="A6" s="4" t="s">
        <v>9</v>
      </c>
      <c r="B6" s="5">
        <v>62545</v>
      </c>
      <c r="C6" s="9">
        <v>16170</v>
      </c>
      <c r="D6" s="13">
        <v>13301</v>
      </c>
      <c r="E6" s="13">
        <v>92016</v>
      </c>
      <c r="F6" s="13">
        <v>46446</v>
      </c>
      <c r="G6" s="11">
        <v>11512</v>
      </c>
      <c r="H6" s="19">
        <v>8355</v>
      </c>
      <c r="I6" s="25">
        <v>66313</v>
      </c>
      <c r="J6" s="13">
        <v>0</v>
      </c>
      <c r="K6" s="21">
        <f t="shared" si="0"/>
        <v>66313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ht="12.75">
      <c r="A7" s="4" t="s">
        <v>10</v>
      </c>
      <c r="B7" s="5">
        <v>5417</v>
      </c>
      <c r="C7" s="9">
        <v>3099</v>
      </c>
      <c r="D7" s="13">
        <v>1869</v>
      </c>
      <c r="E7" s="13">
        <v>10385</v>
      </c>
      <c r="F7" s="13">
        <v>4397</v>
      </c>
      <c r="G7" s="11">
        <v>2355</v>
      </c>
      <c r="H7" s="19">
        <v>1332</v>
      </c>
      <c r="I7" s="25">
        <v>8084</v>
      </c>
      <c r="J7" s="13">
        <v>2644</v>
      </c>
      <c r="K7" s="21">
        <f t="shared" si="0"/>
        <v>5440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ht="12.75">
      <c r="A8" s="4" t="s">
        <v>11</v>
      </c>
      <c r="B8" s="5">
        <v>793</v>
      </c>
      <c r="C8" s="9">
        <v>594</v>
      </c>
      <c r="D8" s="13">
        <v>299</v>
      </c>
      <c r="E8" s="13">
        <v>1686</v>
      </c>
      <c r="F8" s="13">
        <v>661</v>
      </c>
      <c r="G8" s="11">
        <v>472</v>
      </c>
      <c r="H8" s="18">
        <v>222</v>
      </c>
      <c r="I8" s="25">
        <v>1355</v>
      </c>
      <c r="J8" s="13">
        <v>0</v>
      </c>
      <c r="K8" s="21">
        <f t="shared" si="0"/>
        <v>1355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ht="12.75">
      <c r="A9" s="4" t="s">
        <v>12</v>
      </c>
      <c r="B9" s="5">
        <v>7947</v>
      </c>
      <c r="C9" s="9">
        <v>5873</v>
      </c>
      <c r="D9" s="13">
        <v>3083</v>
      </c>
      <c r="E9" s="13">
        <v>16903</v>
      </c>
      <c r="F9" s="13">
        <v>6433</v>
      </c>
      <c r="G9" s="11">
        <v>4514</v>
      </c>
      <c r="H9" s="19">
        <v>2188</v>
      </c>
      <c r="I9" s="25">
        <v>13135</v>
      </c>
      <c r="J9" s="13">
        <v>0</v>
      </c>
      <c r="K9" s="21">
        <f t="shared" si="0"/>
        <v>13135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ht="12.75">
      <c r="A10" s="4" t="s">
        <v>13</v>
      </c>
      <c r="B10" s="5">
        <v>3366</v>
      </c>
      <c r="C10" s="9">
        <v>2409</v>
      </c>
      <c r="D10" s="13">
        <v>1227</v>
      </c>
      <c r="E10" s="13">
        <v>7002</v>
      </c>
      <c r="F10" s="13">
        <v>2621</v>
      </c>
      <c r="G10" s="11">
        <v>1798</v>
      </c>
      <c r="H10" s="19">
        <v>835</v>
      </c>
      <c r="I10" s="25">
        <v>5254</v>
      </c>
      <c r="J10" s="13">
        <v>0</v>
      </c>
      <c r="K10" s="21">
        <f t="shared" si="0"/>
        <v>5254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ht="12.75">
      <c r="A11" s="4" t="s">
        <v>14</v>
      </c>
      <c r="B11" s="5">
        <v>10236</v>
      </c>
      <c r="C11" s="9">
        <v>2055</v>
      </c>
      <c r="D11" s="13">
        <v>1926</v>
      </c>
      <c r="E11" s="13">
        <v>14217</v>
      </c>
      <c r="F11" s="13">
        <v>8039</v>
      </c>
      <c r="G11" s="11">
        <v>1559</v>
      </c>
      <c r="H11" s="19">
        <v>1280</v>
      </c>
      <c r="I11" s="25">
        <v>10878</v>
      </c>
      <c r="J11" s="13">
        <v>0</v>
      </c>
      <c r="K11" s="21">
        <f t="shared" si="0"/>
        <v>10878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 ht="12.75">
      <c r="A12" s="4" t="s">
        <v>15</v>
      </c>
      <c r="B12" s="5">
        <v>1565</v>
      </c>
      <c r="C12" s="9">
        <v>718</v>
      </c>
      <c r="D12" s="13">
        <v>275</v>
      </c>
      <c r="E12" s="13">
        <v>2558</v>
      </c>
      <c r="F12" s="13">
        <v>1324</v>
      </c>
      <c r="G12" s="11">
        <v>611</v>
      </c>
      <c r="H12" s="18">
        <v>220</v>
      </c>
      <c r="I12" s="25">
        <v>2155</v>
      </c>
      <c r="J12" s="13">
        <v>0</v>
      </c>
      <c r="K12" s="21">
        <f t="shared" si="0"/>
        <v>2155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 ht="12.75">
      <c r="A13" s="4" t="s">
        <v>16</v>
      </c>
      <c r="B13" s="5">
        <v>17647</v>
      </c>
      <c r="C13" s="9">
        <v>6408</v>
      </c>
      <c r="D13" s="13">
        <v>5263</v>
      </c>
      <c r="E13" s="13">
        <v>29318</v>
      </c>
      <c r="F13" s="13">
        <v>12426</v>
      </c>
      <c r="G13" s="11">
        <v>4361</v>
      </c>
      <c r="H13" s="27">
        <v>3153</v>
      </c>
      <c r="I13" s="25">
        <v>19940</v>
      </c>
      <c r="J13" s="24">
        <v>3776</v>
      </c>
      <c r="K13" s="21">
        <f t="shared" si="0"/>
        <v>16164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 ht="12.75">
      <c r="A14" s="4" t="s">
        <v>17</v>
      </c>
      <c r="B14" s="5">
        <v>793</v>
      </c>
      <c r="C14" s="9">
        <v>958</v>
      </c>
      <c r="D14" s="13">
        <v>192</v>
      </c>
      <c r="E14" s="13">
        <v>1943</v>
      </c>
      <c r="F14" s="13">
        <v>694</v>
      </c>
      <c r="G14" s="11">
        <v>805</v>
      </c>
      <c r="H14" s="18">
        <v>152</v>
      </c>
      <c r="I14" s="25">
        <v>1651</v>
      </c>
      <c r="J14" s="13">
        <v>0</v>
      </c>
      <c r="K14" s="21">
        <f t="shared" si="0"/>
        <v>1651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 ht="12.75">
      <c r="A15" s="4" t="s">
        <v>18</v>
      </c>
      <c r="B15" s="5">
        <v>11408</v>
      </c>
      <c r="C15" s="9">
        <v>6781</v>
      </c>
      <c r="D15" s="13">
        <v>4039</v>
      </c>
      <c r="E15" s="13">
        <v>22228</v>
      </c>
      <c r="F15" s="13">
        <v>8755</v>
      </c>
      <c r="G15" s="11">
        <v>5060</v>
      </c>
      <c r="H15" s="19">
        <v>2771</v>
      </c>
      <c r="I15" s="25">
        <v>16586</v>
      </c>
      <c r="J15" s="13">
        <v>0</v>
      </c>
      <c r="K15" s="21">
        <f t="shared" si="0"/>
        <v>16586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ht="12.75">
      <c r="A16" s="4" t="s">
        <v>19</v>
      </c>
      <c r="B16" s="5">
        <v>26371</v>
      </c>
      <c r="C16" s="9">
        <v>5974</v>
      </c>
      <c r="D16" s="13">
        <v>7656</v>
      </c>
      <c r="E16" s="13">
        <v>40001</v>
      </c>
      <c r="F16" s="13">
        <v>20263</v>
      </c>
      <c r="G16" s="11">
        <v>4408</v>
      </c>
      <c r="H16" s="19">
        <v>5343</v>
      </c>
      <c r="I16" s="25">
        <v>30014</v>
      </c>
      <c r="J16" s="13">
        <v>11045</v>
      </c>
      <c r="K16" s="21">
        <f t="shared" si="0"/>
        <v>18969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 ht="12.75">
      <c r="A17" s="4" t="s">
        <v>20</v>
      </c>
      <c r="B17" s="5">
        <v>1305</v>
      </c>
      <c r="C17" s="9">
        <v>479</v>
      </c>
      <c r="D17" s="13">
        <v>273</v>
      </c>
      <c r="E17" s="13">
        <v>2057</v>
      </c>
      <c r="F17" s="13">
        <v>1112</v>
      </c>
      <c r="G17" s="11">
        <v>388</v>
      </c>
      <c r="H17" s="18">
        <v>195</v>
      </c>
      <c r="I17" s="25">
        <v>1695</v>
      </c>
      <c r="J17" s="13">
        <v>0</v>
      </c>
      <c r="K17" s="21">
        <f t="shared" si="0"/>
        <v>1695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 ht="12.75">
      <c r="A18" s="4" t="s">
        <v>21</v>
      </c>
      <c r="B18" s="5">
        <v>104568</v>
      </c>
      <c r="C18" s="9">
        <v>13901</v>
      </c>
      <c r="D18" s="13">
        <v>23674</v>
      </c>
      <c r="E18" s="13">
        <v>142143</v>
      </c>
      <c r="F18" s="13">
        <v>53596</v>
      </c>
      <c r="G18" s="11">
        <v>6676</v>
      </c>
      <c r="H18" s="19">
        <v>9917</v>
      </c>
      <c r="I18" s="25">
        <v>70189</v>
      </c>
      <c r="J18" s="13">
        <v>27064</v>
      </c>
      <c r="K18" s="21">
        <f t="shared" si="0"/>
        <v>43125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 ht="12.75">
      <c r="A19" s="4" t="s">
        <v>22</v>
      </c>
      <c r="B19" s="5">
        <v>69678</v>
      </c>
      <c r="C19" s="9">
        <v>3892</v>
      </c>
      <c r="D19" s="13">
        <v>8345</v>
      </c>
      <c r="E19" s="13">
        <v>81915</v>
      </c>
      <c r="F19" s="13">
        <v>46564</v>
      </c>
      <c r="G19" s="11">
        <v>2417</v>
      </c>
      <c r="H19" s="19">
        <v>4337</v>
      </c>
      <c r="I19" s="25">
        <v>53318</v>
      </c>
      <c r="J19" s="13">
        <v>18533</v>
      </c>
      <c r="K19" s="21">
        <f>I19-J19</f>
        <v>34785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 ht="12.75">
      <c r="A20" s="4" t="s">
        <v>23</v>
      </c>
      <c r="B20" s="5">
        <v>2197</v>
      </c>
      <c r="C20" s="9">
        <v>1462</v>
      </c>
      <c r="D20" s="13">
        <v>734</v>
      </c>
      <c r="E20" s="13">
        <v>4393</v>
      </c>
      <c r="F20" s="13">
        <v>1854</v>
      </c>
      <c r="G20" s="11">
        <v>1134</v>
      </c>
      <c r="H20" s="19">
        <v>540</v>
      </c>
      <c r="I20" s="25">
        <v>3528</v>
      </c>
      <c r="J20" s="13">
        <v>0</v>
      </c>
      <c r="K20" s="21">
        <f>I20-J20</f>
        <v>3528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 ht="12.75">
      <c r="A21" s="4" t="s">
        <v>24</v>
      </c>
      <c r="B21" s="5">
        <v>4486</v>
      </c>
      <c r="C21" s="9">
        <v>2701</v>
      </c>
      <c r="D21" s="13">
        <v>1543</v>
      </c>
      <c r="E21" s="13">
        <v>8730</v>
      </c>
      <c r="F21" s="13">
        <v>3405</v>
      </c>
      <c r="G21" s="11">
        <v>1911</v>
      </c>
      <c r="H21" s="19">
        <v>977</v>
      </c>
      <c r="I21" s="25">
        <v>6293</v>
      </c>
      <c r="J21" s="13">
        <v>2000</v>
      </c>
      <c r="K21" s="21">
        <f>I21-J21</f>
        <v>4293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 ht="12.75">
      <c r="A22" s="4" t="s">
        <v>25</v>
      </c>
      <c r="B22" s="5">
        <v>691</v>
      </c>
      <c r="C22" s="9">
        <v>433</v>
      </c>
      <c r="D22" s="13">
        <v>185</v>
      </c>
      <c r="E22" s="13">
        <v>1309</v>
      </c>
      <c r="F22" s="13">
        <v>588</v>
      </c>
      <c r="G22" s="11">
        <v>353</v>
      </c>
      <c r="H22" s="18">
        <v>137</v>
      </c>
      <c r="I22" s="25">
        <v>1078</v>
      </c>
      <c r="J22" s="13">
        <v>0</v>
      </c>
      <c r="K22" s="21">
        <f t="shared" si="0"/>
        <v>1078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ht="12.75">
      <c r="A23" s="4" t="s">
        <v>26</v>
      </c>
      <c r="B23" s="5">
        <v>2582</v>
      </c>
      <c r="C23" s="9">
        <v>1265</v>
      </c>
      <c r="D23" s="13">
        <v>865</v>
      </c>
      <c r="E23" s="13">
        <v>4712</v>
      </c>
      <c r="F23" s="13">
        <v>2212</v>
      </c>
      <c r="G23" s="11">
        <v>1028</v>
      </c>
      <c r="H23" s="19">
        <v>680</v>
      </c>
      <c r="I23" s="25">
        <v>3920</v>
      </c>
      <c r="J23" s="13">
        <v>1199</v>
      </c>
      <c r="K23" s="21">
        <f t="shared" si="0"/>
        <v>2721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ht="12.75">
      <c r="A24" s="4" t="s">
        <v>27</v>
      </c>
      <c r="B24" s="5">
        <v>5903</v>
      </c>
      <c r="C24" s="9">
        <v>3608</v>
      </c>
      <c r="D24" s="13">
        <v>2143</v>
      </c>
      <c r="E24" s="13">
        <v>11654</v>
      </c>
      <c r="F24" s="13">
        <v>4978</v>
      </c>
      <c r="G24" s="11">
        <v>2939</v>
      </c>
      <c r="H24" s="19">
        <v>1622</v>
      </c>
      <c r="I24" s="25">
        <v>9539</v>
      </c>
      <c r="J24" s="13">
        <v>4000</v>
      </c>
      <c r="K24" s="21">
        <f t="shared" si="0"/>
        <v>5539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 ht="12.75">
      <c r="A25" s="4" t="s">
        <v>28</v>
      </c>
      <c r="B25" s="5">
        <v>3980</v>
      </c>
      <c r="C25" s="9">
        <v>2013</v>
      </c>
      <c r="D25" s="13">
        <v>1068</v>
      </c>
      <c r="E25" s="13">
        <v>7061</v>
      </c>
      <c r="F25" s="13">
        <v>3417</v>
      </c>
      <c r="G25" s="11">
        <v>1693</v>
      </c>
      <c r="H25" s="19">
        <v>815</v>
      </c>
      <c r="I25" s="25">
        <v>5925</v>
      </c>
      <c r="J25" s="13">
        <v>0</v>
      </c>
      <c r="K25" s="21">
        <f t="shared" si="0"/>
        <v>5925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 ht="12.75">
      <c r="A26" s="4" t="s">
        <v>29</v>
      </c>
      <c r="B26" s="5">
        <v>2822</v>
      </c>
      <c r="C26" s="9">
        <v>1874</v>
      </c>
      <c r="D26" s="13">
        <v>945</v>
      </c>
      <c r="E26" s="13">
        <v>5641</v>
      </c>
      <c r="F26" s="13">
        <v>2404</v>
      </c>
      <c r="G26" s="11">
        <v>1553</v>
      </c>
      <c r="H26" s="19">
        <v>740</v>
      </c>
      <c r="I26" s="25">
        <v>4697</v>
      </c>
      <c r="J26" s="13">
        <v>0</v>
      </c>
      <c r="K26" s="21">
        <f t="shared" si="0"/>
        <v>4697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 ht="12.75">
      <c r="A27" s="4" t="s">
        <v>30</v>
      </c>
      <c r="B27" s="6">
        <v>438134</v>
      </c>
      <c r="C27" s="7">
        <v>102220</v>
      </c>
      <c r="D27" s="14">
        <v>99171</v>
      </c>
      <c r="E27" s="14">
        <v>639525</v>
      </c>
      <c r="F27" s="14">
        <v>292639</v>
      </c>
      <c r="G27" s="12">
        <v>70313</v>
      </c>
      <c r="H27" s="20">
        <v>57143</v>
      </c>
      <c r="I27" s="26">
        <v>420095</v>
      </c>
      <c r="J27" s="14">
        <f>SUM(J3:J26)</f>
        <v>101965</v>
      </c>
      <c r="K27" s="22">
        <f t="shared" si="0"/>
        <v>318130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 ht="12.7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ht="16.5" customHeight="1">
      <c r="A29" s="34" t="s">
        <v>36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 ht="15" customHeight="1">
      <c r="A30" s="28" t="s">
        <v>37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 ht="14.25" customHeight="1">
      <c r="A31" s="28" t="s">
        <v>31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 ht="13.5" customHeight="1">
      <c r="A32" s="28" t="s">
        <v>32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 ht="12.7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 ht="12.7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 ht="12.7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 ht="12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 ht="12.7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 ht="12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 ht="12.7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 ht="12.7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 ht="12.7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1:33" ht="12.7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 ht="12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33" ht="12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 ht="12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1:33" ht="12.7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3" ht="12.7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3" ht="12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:33" ht="12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1:33" ht="12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33" ht="12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1:33" ht="12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1:33" ht="12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 ht="12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 ht="12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3" ht="12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3" ht="12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 ht="12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3" ht="12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1:33" ht="12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 ht="12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 ht="12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 ht="12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1:33" ht="12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1:33" ht="12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1:33" ht="12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spans="1:33" ht="12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spans="1:33" ht="12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1:33" ht="12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spans="1:33" ht="12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1:33" ht="12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pans="1:33" ht="12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1:33" ht="12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spans="1:33" ht="12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spans="1:33" ht="12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spans="1:33" ht="12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spans="1:33" ht="12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1:33" ht="12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spans="1:33" ht="12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spans="1:33" ht="12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spans="1:33" ht="12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spans="1:33" ht="12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spans="1:33" ht="12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spans="1:33" ht="12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spans="1:33" ht="12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spans="1:33" ht="12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spans="1:33" ht="12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spans="1:33" ht="12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spans="1:33" ht="12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spans="1:33" ht="12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spans="1:33" ht="12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spans="1:33" ht="12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spans="1:33" ht="12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spans="1:33" ht="12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spans="1:33" ht="12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spans="1:33" ht="12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pans="1:33" ht="12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spans="1:33" ht="12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spans="1:33" ht="12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spans="1:33" ht="12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spans="1:33" ht="12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spans="1:33" ht="12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spans="1:33" ht="12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spans="1:33" ht="12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spans="1:33" ht="12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spans="1:33" ht="12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spans="1:33" ht="12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spans="1:33" ht="12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spans="1:33" ht="12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spans="1:33" ht="12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spans="1:33" ht="12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spans="1:33" ht="12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spans="1:33" ht="12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spans="1:33" ht="12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spans="1:33" ht="12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spans="1:33" ht="12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spans="1:33" ht="12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spans="1:33" ht="12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spans="1:33" ht="12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spans="1:33" ht="12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spans="1:33" ht="12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spans="1:33" ht="12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spans="1:33" ht="12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spans="1:33" ht="12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spans="1:33" ht="12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spans="1:33" ht="12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spans="1:33" ht="12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spans="1:33" ht="12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spans="1:33" ht="12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spans="1:33" ht="12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spans="1:33" ht="12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spans="1:33" ht="12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spans="1:33" ht="12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spans="1:33" ht="12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spans="1:33" ht="12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spans="1:33" ht="12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spans="1:33" ht="12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spans="1:33" ht="12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spans="1:33" ht="12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spans="1:33" ht="12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spans="1:33" ht="12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spans="1:33" ht="12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spans="1:33" ht="12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spans="1:33" ht="12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spans="1:33" ht="12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spans="1:33" ht="12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spans="1:33" ht="12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spans="1:33" ht="12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spans="1:33" ht="12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spans="1:33" ht="12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spans="1:33" ht="12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spans="1:33" ht="12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spans="1:33" ht="12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spans="1:33" ht="12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spans="1:33" ht="12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spans="1:33" ht="12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spans="1:33" ht="12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spans="1:33" ht="12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spans="1:33" ht="12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spans="1:33" ht="12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spans="1:33" ht="12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spans="1:33" ht="12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spans="1:33" ht="12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spans="1:33" ht="12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spans="1:33" ht="12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spans="1:33" ht="12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spans="1:33" ht="12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spans="1:33" ht="12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spans="1:33" ht="12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spans="1:33" ht="12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spans="1:33" ht="12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spans="1:33" ht="12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spans="1:33" ht="12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spans="1:33" ht="12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spans="1:33" ht="12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spans="1:33" ht="12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spans="1:33" ht="12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spans="1:33" ht="12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ht="12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spans="1:33" ht="12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spans="1:33" ht="12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spans="1:33" ht="12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spans="1:33" ht="12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spans="1:33" ht="12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spans="1:33" ht="12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spans="1:33" ht="12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spans="1:33" ht="12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spans="1:33" ht="12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spans="1:33" ht="12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spans="1:33" ht="12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spans="1:33" ht="12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spans="1:33" ht="12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spans="1:33" ht="12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spans="1:33" ht="12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spans="1:33" ht="12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spans="1:33" ht="12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spans="1:33" ht="12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spans="1:33" ht="12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spans="1:33" ht="12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spans="1:33" ht="12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spans="1:33" ht="12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spans="1:33" ht="12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spans="1:33" ht="12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spans="1:33" ht="12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spans="1:33" ht="12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spans="1:33" ht="12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spans="1:33" ht="12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spans="1:33" ht="12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spans="1:33" ht="12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spans="1:33" ht="12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spans="1:33" ht="12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spans="1:33" ht="12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spans="1:33" ht="12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spans="1:33" ht="12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spans="1:33" ht="12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spans="1:33" ht="12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spans="1:33" ht="12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spans="1:33" ht="12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spans="1:33" ht="12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spans="1:33" ht="12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spans="1:33" ht="12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spans="1:33" ht="12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spans="1:33" ht="12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spans="1:33" ht="12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spans="1:33" ht="12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spans="1:33" ht="12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spans="1:33" ht="12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spans="1:33" ht="12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spans="1:33" ht="12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spans="1:33" ht="12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spans="1:33" ht="12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spans="1:33" ht="12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spans="1:33" ht="12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spans="1:33" ht="12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spans="1:33" ht="12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spans="1:33" ht="12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spans="1:33" ht="12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spans="1:33" ht="12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spans="1:33" ht="12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spans="1:33" ht="12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spans="1:33" ht="12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spans="1:33" ht="12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spans="1:33" ht="12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spans="1:33" ht="12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spans="1:33" ht="12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spans="1:33" ht="12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spans="1:33" ht="12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spans="1:33" ht="12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spans="1:33" ht="12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spans="1:33" ht="12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spans="1:33" ht="12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spans="1:33" ht="12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spans="1:33" ht="12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spans="1:33" ht="12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spans="1:33" ht="12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spans="1:33" ht="12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spans="1:33" ht="12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spans="1:33" ht="12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spans="1:33" ht="12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spans="1:33" ht="12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spans="1:33" ht="12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spans="1:33" ht="12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spans="1:33" ht="12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spans="1:33" ht="12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spans="1:33" ht="12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spans="1:33" ht="12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spans="1:33" ht="12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spans="1:33" ht="12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spans="1:33" ht="12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spans="1:33" ht="12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spans="1:33" ht="12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spans="1:33" ht="12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spans="1:33" ht="12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spans="1:33" ht="12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spans="1:33" ht="12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spans="1:33" ht="12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spans="1:33" ht="12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spans="1:33" ht="12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spans="1:33" ht="12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spans="1:33" ht="12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spans="1:33" ht="12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spans="1:33" ht="12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spans="1:33" ht="12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spans="1:33" ht="12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spans="1:33" ht="12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spans="1:33" ht="12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spans="1:33" ht="12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spans="1:33" ht="12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spans="1:33" ht="12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spans="1:33" ht="12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spans="1:33" ht="12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spans="1:33" ht="12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spans="1:33" ht="12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spans="1:33" ht="12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spans="1:33" ht="12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spans="1:33" ht="12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spans="1:33" ht="12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spans="1:33" ht="12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spans="1:33" ht="12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spans="1:33" ht="12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spans="1:33" ht="12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spans="1:33" ht="12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spans="1:33" ht="12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spans="1:33" ht="12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spans="1:33" ht="12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spans="1:33" ht="12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spans="1:33" ht="12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spans="1:33" ht="12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spans="1:33" ht="12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spans="1:33" ht="12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spans="1:33" ht="12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spans="1:33" ht="12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spans="1:33" ht="12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spans="1:33" ht="12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spans="1:33" ht="12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spans="1:33" ht="12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spans="1:33" ht="12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spans="1:33" ht="12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spans="1:33" ht="12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spans="1:33" ht="12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spans="1:33" ht="12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spans="1:33" ht="12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spans="1:33" ht="12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spans="1:33" ht="12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spans="1:33" ht="12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spans="1:33" ht="12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spans="1:33" ht="12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spans="1:33" ht="12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spans="1:33" ht="12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spans="1:33" ht="12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spans="1:33" ht="12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spans="1:33" ht="12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spans="1:33" ht="12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spans="1:33" ht="12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spans="1:33" ht="12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spans="1:33" ht="12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spans="1:33" ht="12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spans="1:33" ht="12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spans="1:33" ht="12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spans="1:33" ht="12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spans="1:33" ht="12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spans="1:33" ht="12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spans="1:33" ht="12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spans="1:33" ht="12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spans="1:33" ht="12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spans="1:33" ht="12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spans="1:33" ht="12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spans="1:33" ht="12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spans="1:33" ht="12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spans="1:33" ht="12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spans="1:33" ht="12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spans="1:33" ht="12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spans="1:33" ht="12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spans="1:33" ht="12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spans="1:33" ht="12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spans="1:33" ht="12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spans="1:33" ht="12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spans="1:33" ht="12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spans="1:33" ht="12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spans="1:33" ht="12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spans="1:33" ht="12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spans="1:33" ht="12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spans="1:33" ht="12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spans="1:33" ht="12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spans="1:33" ht="12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spans="1:33" ht="12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spans="1:33" ht="12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spans="1:33" ht="12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spans="1:33" ht="12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spans="1:33" ht="12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spans="1:33" ht="12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spans="1:33" ht="12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spans="1:33" ht="12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spans="1:33" ht="12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spans="1:33" ht="12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spans="1:33" ht="12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spans="1:33" ht="12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spans="1:33" ht="12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spans="1:33" ht="12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spans="1:33" ht="12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spans="1:33" ht="12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spans="1:33" ht="12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spans="1:33" ht="12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spans="1:33" ht="12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spans="1:33" ht="12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spans="1:33" ht="12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spans="1:33" ht="12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spans="1:33" ht="12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spans="1:33" ht="12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spans="1:33" ht="12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spans="1:33" ht="12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spans="1:33" ht="12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spans="1:33" ht="12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spans="1:33" ht="12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spans="1:33" ht="12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spans="1:33" ht="12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spans="1:33" ht="12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spans="1:33" ht="12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spans="1:33" ht="12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spans="1:33" ht="12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spans="1:33" ht="12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spans="1:33" ht="12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spans="1:33" ht="12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spans="1:33" ht="12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spans="1:33" ht="12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spans="1:33" ht="12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spans="1:33" ht="12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spans="1:33" ht="12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spans="1:33" ht="12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spans="1:33" ht="12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spans="1:33" ht="12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spans="1:33" ht="12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spans="1:33" ht="12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spans="1:33" ht="12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spans="1:33" ht="12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spans="1:33" ht="12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spans="1:33" ht="12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spans="1:33" ht="12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spans="1:33" ht="12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spans="1:33" ht="12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spans="1:33" ht="12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spans="1:33" ht="12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spans="1:33" ht="12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spans="1:33" ht="12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spans="1:33" ht="12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spans="1:33" ht="12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spans="1:33" ht="12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spans="1:33" ht="12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spans="1:33" ht="12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spans="1:33" ht="12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spans="1:33" ht="12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spans="1:33" ht="12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spans="1:33" ht="12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spans="1:33" ht="12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spans="1:33" ht="12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spans="1:33" ht="12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spans="1:33" ht="12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spans="1:33" ht="12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spans="1:33" ht="12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spans="1:33" ht="12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spans="1:33" ht="12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spans="1:33" ht="12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spans="1:33" ht="12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spans="1:33" ht="12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spans="1:33" ht="12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spans="1:33" ht="12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spans="1:33" ht="12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spans="1:33" ht="12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spans="1:33" ht="12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spans="1:33" ht="12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spans="1:33" ht="12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spans="1:33" ht="12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spans="1:33" ht="12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spans="1:33" ht="12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spans="1:33" ht="12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spans="1:33" ht="12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spans="1:33" ht="12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spans="1:33" ht="12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spans="1:33" ht="12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spans="1:33" ht="12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spans="1:33" ht="12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spans="1:33" ht="12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spans="1:33" ht="12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spans="1:33" ht="12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spans="1:33" ht="12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spans="1:33" ht="12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spans="1:33" ht="12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spans="1:33" ht="12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spans="1:33" ht="12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spans="1:33" ht="12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spans="1:33" ht="12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spans="1:33" ht="12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spans="1:33" ht="12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spans="1:33" ht="12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spans="1:33" ht="12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spans="1:33" ht="12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spans="1:33" ht="12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spans="1:33" ht="12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spans="1:33" ht="12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spans="1:33" ht="12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spans="1:33" ht="12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spans="1:33" ht="12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spans="1:33" ht="12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spans="1:33" ht="12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spans="1:33" ht="12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spans="1:33" ht="12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spans="1:33" ht="12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spans="1:33" ht="12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spans="1:33" ht="12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spans="1:33" ht="12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spans="1:33" ht="12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spans="1:33" ht="12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spans="1:33" ht="12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spans="1:33" ht="12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spans="1:33" ht="12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spans="1:33" ht="12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spans="1:33" ht="12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spans="1:33" ht="12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spans="1:33" ht="12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spans="1:33" ht="12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spans="1:33" ht="12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spans="1:33" ht="12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spans="1:33" ht="12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spans="1:33" ht="12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spans="1:33" ht="12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spans="1:33" ht="12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spans="1:33" ht="12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spans="1:33" ht="12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spans="1:33" ht="12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spans="1:33" ht="12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spans="1:33" ht="12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spans="1:33" ht="12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spans="1:33" ht="12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spans="1:33" ht="12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spans="1:33" ht="12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spans="1:33" ht="12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spans="1:33" ht="12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spans="1:33" ht="12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spans="1:33" ht="12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spans="1:33" ht="12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spans="1:33" ht="12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spans="1:33" ht="12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spans="1:33" ht="12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spans="1:33" ht="12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spans="1:33" ht="12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spans="1:33" ht="12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spans="1:33" ht="12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spans="1:33" ht="12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spans="1:33" ht="12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spans="1:33" ht="12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spans="1:33" ht="12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spans="1:33" ht="12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spans="1:33" ht="12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spans="1:33" ht="12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spans="1:33" ht="12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spans="1:33" ht="12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spans="1:33" ht="12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spans="1:33" ht="12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spans="1:33" ht="12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spans="1:33" ht="12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spans="1:33" ht="12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spans="1:33" ht="12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spans="1:33" ht="12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spans="1:33" ht="12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spans="1:33" ht="12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spans="1:33" ht="12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spans="1:33" ht="12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spans="1:33" ht="12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spans="1:33" ht="12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spans="1:33" ht="12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spans="1:33" ht="12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spans="1:33" ht="12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spans="1:33" ht="12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spans="1:33" ht="12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spans="1:33" ht="12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spans="1:33" ht="12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spans="1:33" ht="12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spans="1:33" ht="12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spans="1:33" ht="12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spans="1:33" ht="12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spans="1:33" ht="12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spans="1:33" ht="12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spans="1:33" ht="12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spans="1:33" ht="12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spans="1:33" ht="12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spans="1:33" ht="12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spans="1:33" ht="12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spans="1:33" ht="12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spans="1:33" ht="12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spans="1:33" ht="12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spans="1:33" ht="12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spans="1:33" ht="12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spans="1:33" ht="12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spans="1:33" ht="12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spans="1:33" ht="12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spans="1:33" ht="12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spans="1:33" ht="12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spans="1:33" ht="12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spans="1:33" ht="12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spans="1:33" ht="12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spans="1:33" ht="12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spans="1:33" ht="12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spans="1:33" ht="12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spans="1:33" ht="12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spans="1:33" ht="12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spans="1:33" ht="12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spans="1:33" ht="12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spans="1:33" ht="12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spans="1:33" ht="12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spans="1:33" ht="12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spans="1:33" ht="12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spans="1:33" ht="12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spans="1:33" ht="12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spans="1:33" ht="12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spans="1:33" ht="12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spans="1:33" ht="12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spans="1:33" ht="12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spans="1:33" ht="12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spans="1:33" ht="12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spans="1:33" ht="12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spans="1:33" ht="12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spans="1:33" ht="12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spans="1:33" ht="12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spans="1:33" ht="12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spans="1:33" ht="12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spans="1:33" ht="12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spans="1:33" ht="12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spans="1:33" ht="12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spans="1:33" ht="12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spans="1:33" ht="12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spans="1:33" ht="12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spans="1:33" ht="12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spans="1:33" ht="12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spans="1:33" ht="12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spans="1:33" ht="12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spans="1:33" ht="12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spans="1:33" ht="12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spans="1:33" ht="12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spans="1:33" ht="12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spans="1:33" ht="12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spans="1:33" ht="12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spans="1:33" ht="12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spans="1:33" ht="12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spans="1:33" ht="12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spans="1:33" ht="12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spans="1:33" ht="12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spans="1:33" ht="12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spans="1:33" ht="12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spans="1:33" ht="12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spans="1:33" ht="12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spans="1:33" ht="12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spans="1:33" ht="12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spans="1:33" ht="12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spans="1:33" ht="12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spans="1:33" ht="12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spans="1:33" ht="12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spans="1:33" ht="12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spans="1:33" ht="12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spans="1:33" ht="12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spans="1:33" ht="12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spans="1:33" ht="12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spans="1:33" ht="12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spans="1:33" ht="12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spans="1:33" ht="12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spans="1:33" ht="12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spans="1:33" ht="12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spans="1:33" ht="12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spans="1:33" ht="12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spans="1:33" ht="12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spans="1:33" ht="12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spans="1:33" ht="12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spans="1:33" ht="12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spans="1:33" ht="12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spans="1:33" ht="12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spans="1:33" ht="12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spans="1:33" ht="12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spans="1:33" ht="12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spans="1:33" ht="12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spans="1:33" ht="12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spans="1:33" ht="12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spans="1:33" ht="12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spans="1:33" ht="12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spans="1:33" ht="12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spans="1:33" ht="12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spans="1:33" ht="12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spans="1:33" ht="12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spans="1:33" ht="12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spans="1:33" ht="12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spans="1:33" ht="12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spans="1:33" ht="12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spans="1:33" ht="12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spans="1:33" ht="12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spans="1:33" ht="12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spans="1:33" ht="12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spans="1:33" ht="12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spans="1:33" ht="12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spans="1:33" ht="12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spans="1:33" ht="12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spans="1:33" ht="12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spans="1:33" ht="12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spans="1:33" ht="12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spans="1:33" ht="12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spans="1:33" ht="12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spans="1:33" ht="12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spans="1:33" ht="12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spans="1:33" ht="12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spans="1:33" ht="12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spans="1:33" ht="12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spans="1:33" ht="12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spans="1:33" ht="12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spans="1:33" ht="12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spans="1:33" ht="12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spans="1:33" ht="12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spans="1:33" ht="12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spans="1:33" ht="12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spans="1:33" ht="12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spans="1:33" ht="12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spans="1:33" ht="12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spans="1:33" ht="12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spans="1:33" ht="12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spans="1:33" ht="12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spans="1:33" ht="12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spans="1:33" ht="12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spans="1:33" ht="12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spans="1:33" ht="12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spans="1:33" ht="12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spans="1:33" ht="12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spans="1:33" ht="12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spans="1:33" ht="12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spans="1:33" ht="12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spans="1:33" ht="12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spans="1:33" ht="12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spans="1:33" ht="12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spans="1:33" ht="12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spans="1:33" ht="12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spans="1:33" ht="12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spans="1:33" ht="12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spans="1:33" ht="12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spans="1:33" ht="12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spans="1:33" ht="12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spans="1:33" ht="12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spans="1:33" ht="12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spans="1:33" ht="12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spans="1:33" ht="12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spans="1:33" ht="12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spans="1:33" ht="12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spans="1:33" ht="12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spans="1:33" ht="12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spans="1:33" ht="12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spans="1:33" ht="12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spans="1:33" ht="12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spans="1:33" ht="12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spans="1:33" ht="12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spans="1:33" ht="12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spans="1:33" ht="12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spans="1:33" ht="12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spans="1:33" ht="12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spans="1:33" ht="12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spans="1:33" ht="12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spans="1:33" ht="12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spans="1:33" ht="12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spans="1:33" ht="12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spans="1:33" ht="12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spans="1:33" ht="12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spans="1:33" ht="12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spans="1:33" ht="12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spans="1:33" ht="12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spans="1:33" ht="12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spans="1:33" ht="12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spans="1:33" ht="12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spans="1:33" ht="12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spans="1:33" ht="12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spans="1:33" ht="12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spans="1:33" ht="12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spans="1:33" ht="12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spans="1:33" ht="12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spans="1:33" ht="12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spans="1:33" ht="12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spans="1:33" ht="12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spans="1:33" ht="12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spans="1:33" ht="12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spans="1:33" ht="12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spans="1:33" ht="12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spans="1:33" ht="12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spans="1:33" ht="12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spans="1:33" ht="12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spans="1:33" ht="12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spans="1:33" ht="12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spans="1:33" ht="12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spans="1:33" ht="12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spans="1:33" ht="12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spans="1:33" ht="12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spans="1:33" ht="12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spans="1:33" ht="12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spans="1:33" ht="12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spans="1:33" ht="12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spans="1:33" ht="12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spans="1:33" ht="12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spans="1:33" ht="12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spans="1:33" ht="12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spans="1:33" ht="12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spans="1:33" ht="12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spans="1:33" ht="12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spans="1:33" ht="12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spans="1:33" ht="12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spans="1:33" ht="12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spans="1:33" ht="12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spans="1:33" ht="12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spans="1:33" ht="12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spans="1:33" ht="12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spans="1:33" ht="12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spans="1:33" ht="12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spans="1:33" ht="12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spans="1:33" ht="12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spans="1:33" ht="12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spans="1:33" ht="12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spans="1:33" ht="12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spans="1:33" ht="12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spans="1:33" ht="12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spans="1:33" ht="12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spans="1:33" ht="12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spans="1:33" ht="12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spans="1:33" ht="12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spans="1:33" ht="12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spans="1:33" ht="12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spans="1:33" ht="12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spans="1:33" ht="12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spans="1:33" ht="12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spans="1:33" ht="12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spans="1:33" ht="12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spans="1:33" ht="12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spans="1:33" ht="12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spans="1:33" ht="12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spans="1:33" ht="12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spans="1:33" ht="12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spans="1:33" ht="12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spans="1:33" ht="12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spans="1:33" ht="12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spans="1:33" ht="12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spans="1:33" ht="12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spans="1:33" ht="12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spans="1:33" ht="12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spans="1:33" ht="12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spans="1:33" ht="12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spans="1:33" ht="12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spans="1:33" ht="12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spans="1:33" ht="12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spans="1:33" ht="12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spans="1:33" ht="12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spans="1:33" ht="12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spans="1:33" ht="12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spans="1:33" ht="12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spans="1:33" ht="12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spans="1:33" ht="12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spans="1:33" ht="12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spans="1:33" ht="12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spans="1:33" ht="12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spans="1:33" ht="12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spans="1:33" ht="12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spans="1:33" ht="12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spans="1:33" ht="12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spans="1:33" ht="12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spans="1:33" ht="12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spans="1:33" ht="12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spans="1:33" ht="12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spans="1:33" ht="12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spans="1:33" ht="12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spans="1:33" ht="12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spans="1:33" ht="12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spans="1:33" ht="12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spans="1:33" ht="12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spans="1:33" ht="12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spans="1:33" ht="12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spans="1:33" ht="12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spans="1:33" ht="12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spans="1:33" ht="12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spans="1:33" ht="12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spans="1:33" ht="12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spans="1:33" ht="12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spans="1:33" ht="12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spans="1:33" ht="12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spans="1:33" ht="12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spans="1:33" ht="12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spans="1:33" ht="12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spans="1:33" ht="12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spans="1:33" ht="12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spans="1:33" ht="12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spans="1:33" ht="12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spans="1:33" ht="12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spans="1:33" ht="12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spans="1:33" ht="12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spans="1:33" ht="12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spans="1:33" ht="12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spans="1:33" ht="12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spans="1:33" ht="12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spans="1:33" ht="12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spans="1:33" ht="12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spans="1:33" ht="12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spans="1:33" ht="12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spans="1:33" ht="12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spans="1:33" ht="12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spans="1:33" ht="12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spans="1:33" ht="12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spans="1:33" ht="12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spans="1:33" ht="12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spans="1:33" ht="12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spans="1:33" ht="12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spans="1:33" ht="12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spans="1:33" ht="12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spans="1:33" ht="12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spans="1:33" ht="12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spans="1:33" ht="12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spans="1:33" ht="12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spans="1:33" ht="12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spans="1:33" ht="12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spans="1:33" ht="12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spans="1:33" ht="12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spans="1:33" ht="12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spans="1:33" ht="12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spans="1:33" ht="12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spans="1:33" ht="12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spans="1:33" ht="12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spans="1:33" ht="12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spans="1:33" ht="12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spans="1:33" ht="12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spans="1:33" ht="12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spans="1:33" ht="12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spans="1:33" ht="12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spans="1:33" ht="12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spans="1:33" ht="12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spans="1:33" ht="12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spans="1:33" ht="12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spans="1:33" ht="12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spans="1:33" ht="12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spans="1:33" ht="12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spans="1:33" ht="12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spans="1:33" ht="12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spans="1:33" ht="12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spans="1:33" ht="12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spans="1:33" ht="12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spans="1:33" ht="12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spans="1:33" ht="12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spans="1:33" ht="12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spans="1:33" ht="12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spans="1:33" ht="12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spans="1:33" ht="12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spans="1:33" ht="12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spans="1:33" ht="12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spans="1:33" ht="12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spans="1:33" ht="12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spans="1:33" ht="12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spans="1:33" ht="12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spans="1:33" ht="12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 spans="1:33" ht="12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 spans="1:33" ht="12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 spans="1:33" ht="12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 spans="1:33" ht="12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 spans="1:33" ht="12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 spans="1:33" ht="12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spans="1:33" ht="12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 spans="1:33" ht="12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 spans="1:33" ht="12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 spans="1:33" ht="12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 spans="1:33" ht="12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 spans="1:33" ht="12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 spans="1:33" ht="12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 spans="1:33" ht="12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 spans="1:33" ht="12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 spans="1:33" ht="12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 spans="1:33" ht="12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 spans="1:33" ht="12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 spans="1:33" ht="12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 spans="1:33" ht="12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 spans="1:33" ht="12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 spans="1:33" ht="12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 spans="1:33" ht="12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 spans="1:33" ht="12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 spans="1:33" ht="12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 spans="1:33" ht="12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 spans="1:33" ht="12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 spans="1:33" ht="12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 spans="1:33" ht="12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 spans="1:33" ht="12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 spans="1:33" ht="12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 spans="1:33" ht="12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 spans="1:33" ht="12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 spans="1:33" ht="12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 spans="1:33" ht="12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 spans="1:33" ht="12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 spans="1:33" ht="12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 spans="1:33" ht="12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 spans="1:33" ht="12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 spans="1:33" ht="12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 spans="1:33" ht="12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 spans="1:33" ht="12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 spans="1:33" ht="12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 spans="1:33" ht="12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 spans="1:33" ht="12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 spans="1:33" ht="12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 spans="1:33" ht="12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 spans="1:33" ht="12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 spans="1:33" ht="12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 spans="1:33" ht="12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 spans="1:33" ht="12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 spans="1:33" ht="12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 spans="1:33" ht="12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 spans="1:33" ht="12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 spans="1:33" ht="12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 spans="1:33" ht="12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 spans="1:33" ht="12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 spans="1:33" ht="12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 spans="1:33" ht="12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 spans="1:33" ht="12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 spans="1:33" ht="12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 spans="1:33" ht="12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 spans="1:33" ht="12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 spans="1:33" ht="12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 spans="1:33" ht="12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 spans="1:33" ht="12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 spans="1:33" ht="12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  <row r="1001" spans="1:33" ht="12.7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</row>
  </sheetData>
  <mergeCells count="7">
    <mergeCell ref="A31:K31"/>
    <mergeCell ref="A32:K32"/>
    <mergeCell ref="A1:A2"/>
    <mergeCell ref="B1:E1"/>
    <mergeCell ref="F1:I1"/>
    <mergeCell ref="A29:K29"/>
    <mergeCell ref="A30:K30"/>
  </mergeCells>
  <pageMargins left="0.7" right="0.7" top="0.75" bottom="0.75" header="0.3" footer="0.3"/>
  <pageSetup paperSize="5" scale="99" fitToHeight="0" orientation="landscape" r:id="rId1"/>
  <headerFooter>
    <oddHeader>&amp;C&amp;"-,Bold"&amp;20Mail-in Ballots Left to Count through November 8, 2022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MIB- Mon., Nov.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Tracey E. Hartman</dc:creator>
  <cp:lastModifiedBy>Tracey E. Hartman</cp:lastModifiedBy>
  <cp:lastPrinted>2022-07-27T19:35:52Z</cp:lastPrinted>
  <dcterms:created xsi:type="dcterms:W3CDTF">2022-07-27T19:38:38Z</dcterms:created>
  <dcterms:modified xsi:type="dcterms:W3CDTF">2022-11-09T19:57:55Z</dcterms:modified>
</cp:coreProperties>
</file>