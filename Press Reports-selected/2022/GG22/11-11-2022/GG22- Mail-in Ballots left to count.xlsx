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:\THartman\My Projects\Election Specific Info\2022 General Election\MIB left to count\Daily Reports for posting\"/>
    </mc:Choice>
  </mc:AlternateContent>
  <xr:revisionPtr revIDLastSave="0" documentId="13_ncr:1_{CD177564-2C8E-4976-A79A-DE6A14957613}" xr6:coauthVersionLast="47" xr6:coauthVersionMax="47" xr10:uidLastSave="{00000000-0000-0000-0000-000000000000}"/>
  <bookViews>
    <workbookView xWindow="1965" yWindow="45" windowWidth="21510" windowHeight="15135" xr2:uid="{00000000-000D-0000-FFFF-FFFF00000000}"/>
  </bookViews>
  <sheets>
    <sheet name="Fri., Nov. 11th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1" i="6" l="1"/>
  <c r="K21" i="6" s="1"/>
  <c r="J18" i="6"/>
  <c r="K18" i="6" s="1"/>
  <c r="J6" i="6"/>
  <c r="K6" i="6"/>
  <c r="J5" i="6"/>
  <c r="K5" i="6" s="1"/>
  <c r="J13" i="6"/>
  <c r="K13" i="6" s="1"/>
  <c r="K20" i="6"/>
  <c r="K19" i="6"/>
  <c r="K26" i="6"/>
  <c r="K25" i="6"/>
  <c r="K24" i="6"/>
  <c r="K23" i="6"/>
  <c r="K22" i="6"/>
  <c r="K17" i="6"/>
  <c r="K16" i="6"/>
  <c r="K15" i="6"/>
  <c r="K14" i="6"/>
  <c r="K12" i="6"/>
  <c r="K11" i="6"/>
  <c r="K10" i="6"/>
  <c r="K9" i="6"/>
  <c r="K8" i="6"/>
  <c r="K7" i="6"/>
  <c r="K4" i="6"/>
  <c r="K3" i="6"/>
  <c r="J27" i="6" l="1"/>
  <c r="K27" i="6" s="1"/>
</calcChain>
</file>

<file path=xl/sharedStrings.xml><?xml version="1.0" encoding="utf-8"?>
<sst xmlns="http://schemas.openxmlformats.org/spreadsheetml/2006/main" count="44" uniqueCount="38">
  <si>
    <t>County</t>
  </si>
  <si>
    <t>Ballots Sent*</t>
  </si>
  <si>
    <t>Dem</t>
  </si>
  <si>
    <t>Rep</t>
  </si>
  <si>
    <t>Other</t>
  </si>
  <si>
    <t>Total</t>
  </si>
  <si>
    <t>Allegany</t>
  </si>
  <si>
    <t>Anne Arundel</t>
  </si>
  <si>
    <t>Baltimore City</t>
  </si>
  <si>
    <t>Baltimore County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</si>
  <si>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</si>
  <si>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</si>
  <si>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</si>
  <si>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</si>
  <si>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</si>
  <si>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</si>
  <si>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</si>
  <si>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</si>
  <si>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</si>
  <si>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</si>
  <si>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</si>
  <si>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</si>
  <si>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</si>
  <si>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</si>
  <si>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Saint Mary's</t>
  </si>
  <si>
    <t>Somerset</t>
  </si>
  <si>
    <t>Talbot</t>
  </si>
  <si>
    <t>Washington</t>
  </si>
  <si>
    <t>Wicomico</t>
  </si>
  <si>
    <t>Worcester</t>
  </si>
  <si>
    <t>Statewide</t>
  </si>
  <si>
    <t xml:space="preserve">*** Number reported from the voting system. This number will be updated as local boards count ballots. </t>
  </si>
  <si>
    <t xml:space="preserve">**** Ballots left to count is the number of ballots received minus the number of ballots canvassed. </t>
  </si>
  <si>
    <t xml:space="preserve">*From the statewide database used to issue and process mail-in ballots.This number is current as of November 8th, which was the last day that a mail-in ballot could be issued. </t>
  </si>
  <si>
    <t xml:space="preserve">** From the statewide database used to issue and process mail-in ballots. This number will be updated daily.  </t>
  </si>
  <si>
    <t>Total Ballots Received through November 11**</t>
  </si>
  <si>
    <t>Cumulative Total Mail-In Ballots canvassed through November 11***</t>
  </si>
  <si>
    <t>Ballots left to count as of November 11- End of Day****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</si>
</sst>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Roboto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37" fontId="0" fillId="0" borderId="2" xfId="0" applyNumberFormat="1" applyBorder="1" applyAlignment="1">
      <alignment horizontal="right" vertical="top"/>
    </xf>
    <xf numFmtId="37" fontId="5" fillId="0" borderId="2" xfId="0" applyNumberFormat="1" applyFont="1" applyBorder="1" applyAlignment="1">
      <alignment horizontal="right" vertical="top"/>
    </xf>
    <xf numFmtId="37" fontId="5" fillId="0" borderId="5" xfId="0" applyNumberFormat="1" applyFont="1" applyBorder="1" applyAlignment="1">
      <alignment horizontal="right" vertical="top"/>
    </xf>
    <xf numFmtId="37" fontId="0" fillId="0" borderId="6" xfId="0" applyNumberFormat="1" applyBorder="1" applyAlignment="1">
      <alignment horizontal="right" vertical="top"/>
    </xf>
    <xf numFmtId="37" fontId="0" fillId="0" borderId="5" xfId="0" applyNumberFormat="1" applyBorder="1" applyAlignment="1">
      <alignment horizontal="right" vertical="top"/>
    </xf>
    <xf numFmtId="0" fontId="1" fillId="0" borderId="1" xfId="0" applyFont="1" applyBorder="1" applyAlignment="1">
      <alignment horizontal="center" wrapText="1"/>
    </xf>
    <xf numFmtId="3" fontId="0" fillId="0" borderId="7" xfId="0" applyNumberFormat="1" applyBorder="1"/>
    <xf numFmtId="3" fontId="5" fillId="0" borderId="7" xfId="0" applyNumberFormat="1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37" fontId="4" fillId="0" borderId="4" xfId="0" applyNumberFormat="1" applyFont="1" applyBorder="1" applyAlignment="1">
      <alignment wrapText="1"/>
    </xf>
    <xf numFmtId="37" fontId="1" fillId="0" borderId="4" xfId="0" applyNumberFormat="1" applyFont="1" applyBorder="1" applyAlignment="1">
      <alignment wrapText="1"/>
    </xf>
    <xf numFmtId="3" fontId="6" fillId="0" borderId="7" xfId="0" applyNumberFormat="1" applyFont="1" applyBorder="1"/>
    <xf numFmtId="3" fontId="6" fillId="0" borderId="0" xfId="0" applyNumberFormat="1" applyFont="1"/>
    <xf numFmtId="37" fontId="0" fillId="0" borderId="7" xfId="0" applyNumberFormat="1" applyBorder="1" applyAlignment="1">
      <alignment horizontal="right" vertical="top"/>
    </xf>
    <xf numFmtId="37" fontId="5" fillId="0" borderId="7" xfId="0" applyNumberFormat="1" applyFont="1" applyBorder="1" applyAlignment="1">
      <alignment horizontal="right" vertical="top"/>
    </xf>
    <xf numFmtId="0" fontId="4" fillId="0" borderId="2" xfId="0" applyFont="1" applyBorder="1" applyAlignment="1">
      <alignment wrapText="1"/>
    </xf>
    <xf numFmtId="3" fontId="4" fillId="0" borderId="2" xfId="0" applyNumberFormat="1" applyFont="1" applyBorder="1" applyAlignment="1">
      <alignment wrapText="1"/>
    </xf>
    <xf numFmtId="3" fontId="4" fillId="0" borderId="2" xfId="0" applyNumberFormat="1" applyFont="1" applyBorder="1"/>
    <xf numFmtId="37" fontId="1" fillId="0" borderId="2" xfId="0" applyNumberFormat="1" applyFont="1" applyBorder="1" applyAlignment="1">
      <alignment horizontal="right" wrapText="1"/>
    </xf>
    <xf numFmtId="3" fontId="4" fillId="0" borderId="7" xfId="0" applyNumberFormat="1" applyFont="1" applyBorder="1" applyAlignment="1">
      <alignment wrapText="1"/>
    </xf>
    <xf numFmtId="3" fontId="1" fillId="0" borderId="7" xfId="0" applyNumberFormat="1" applyFont="1" applyBorder="1" applyAlignment="1">
      <alignment wrapText="1"/>
    </xf>
    <xf numFmtId="0" fontId="4" fillId="0" borderId="0" xfId="0" applyFont="1"/>
    <xf numFmtId="0" fontId="4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3" fontId="6" fillId="0" borderId="7" xfId="0" applyNumberFormat="1" applyFont="1" applyFill="1" applyBorder="1"/>
    <xf numFmtId="3" fontId="0" fillId="0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G1001"/>
  <sheetViews>
    <sheetView tabSelected="1" view="pageLayout" zoomScaleNormal="100" workbookViewId="0">
      <selection activeCell="E42" sqref="E42"/>
    </sheetView>
  </sheetViews>
  <sheetFormatPr defaultColWidth="12.5703125" defaultRowHeight="15.75" customHeight="1"/>
  <cols>
    <col min="1" max="1" width="19.85546875" customWidth="1"/>
    <col min="2" max="2" width="12.140625" customWidth="1"/>
    <col min="3" max="3" width="12.28515625" customWidth="1"/>
    <col min="4" max="4" width="12.5703125" customWidth="1"/>
    <col min="5" max="5" width="10.28515625" customWidth="1"/>
    <col min="6" max="6" width="12.85546875" customWidth="1"/>
    <col min="7" max="7" width="12.5703125" customWidth="1"/>
    <col min="8" max="8" width="12" customWidth="1"/>
    <col min="9" max="9" width="12.42578125" customWidth="1"/>
    <col min="10" max="10" width="19" customWidth="1"/>
    <col min="11" max="11" width="16.28515625" customWidth="1"/>
  </cols>
  <sheetData>
    <row r="1" spans="1:33" ht="61.5" customHeight="1">
      <c r="A1" s="30" t="s">
        <v>0</v>
      </c>
      <c r="B1" s="32" t="s">
        <v>1</v>
      </c>
      <c r="C1" s="33"/>
      <c r="D1" s="33"/>
      <c r="E1" s="34"/>
      <c r="F1" s="32" t="s">
        <v>35</v>
      </c>
      <c r="G1" s="33"/>
      <c r="H1" s="33"/>
      <c r="I1" s="34"/>
      <c r="J1" s="13" t="s">
        <v>36</v>
      </c>
      <c r="K1" s="15" t="s">
        <v>37</v>
      </c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2.75">
      <c r="A2" s="31"/>
      <c r="B2" s="3" t="s">
        <v>2</v>
      </c>
      <c r="C2" s="3" t="s">
        <v>3</v>
      </c>
      <c r="D2" s="3" t="s">
        <v>4</v>
      </c>
      <c r="E2" s="3" t="s">
        <v>5</v>
      </c>
      <c r="F2" s="10" t="s">
        <v>2</v>
      </c>
      <c r="G2" s="10" t="s">
        <v>3</v>
      </c>
      <c r="H2" s="10" t="s">
        <v>4</v>
      </c>
      <c r="I2" s="10" t="s">
        <v>5</v>
      </c>
      <c r="J2" s="10" t="s">
        <v>5</v>
      </c>
      <c r="K2" s="14" t="s">
        <v>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2.75">
      <c r="A3" s="4" t="s">
        <v>6</v>
      </c>
      <c r="B3" s="5">
        <v>2159</v>
      </c>
      <c r="C3" s="8">
        <v>1770</v>
      </c>
      <c r="D3" s="11">
        <v>629</v>
      </c>
      <c r="E3" s="11">
        <v>4558</v>
      </c>
      <c r="F3" s="11">
        <v>1870</v>
      </c>
      <c r="G3" s="20">
        <v>1507</v>
      </c>
      <c r="H3" s="22">
        <v>497</v>
      </c>
      <c r="I3" s="26">
        <v>3874</v>
      </c>
      <c r="J3" s="18">
        <v>3614</v>
      </c>
      <c r="K3" s="16">
        <f>I3-J3</f>
        <v>260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2.75">
      <c r="A4" s="4" t="s">
        <v>7</v>
      </c>
      <c r="B4" s="5">
        <v>40323</v>
      </c>
      <c r="C4" s="9">
        <v>15140</v>
      </c>
      <c r="D4" s="11">
        <v>14424</v>
      </c>
      <c r="E4" s="11">
        <v>69887</v>
      </c>
      <c r="F4" s="11">
        <v>32190</v>
      </c>
      <c r="G4" s="20">
        <v>11513</v>
      </c>
      <c r="H4" s="23">
        <v>10519</v>
      </c>
      <c r="I4" s="26">
        <v>54222</v>
      </c>
      <c r="J4" s="11">
        <v>11398</v>
      </c>
      <c r="K4" s="16">
        <f t="shared" ref="K4:K27" si="0">I4-J4</f>
        <v>42824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2.75">
      <c r="A5" s="4" t="s">
        <v>8</v>
      </c>
      <c r="B5" s="5">
        <v>49352</v>
      </c>
      <c r="C5" s="9">
        <v>2643</v>
      </c>
      <c r="D5" s="11">
        <v>5213</v>
      </c>
      <c r="E5" s="11">
        <v>57208</v>
      </c>
      <c r="F5" s="11">
        <v>39409</v>
      </c>
      <c r="G5" s="20">
        <v>1792</v>
      </c>
      <c r="H5" s="23">
        <v>3379</v>
      </c>
      <c r="I5" s="26">
        <v>44580</v>
      </c>
      <c r="J5" s="11">
        <f>33249+3321</f>
        <v>36570</v>
      </c>
      <c r="K5" s="16">
        <f t="shared" si="0"/>
        <v>8010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2.75">
      <c r="A6" s="4" t="s">
        <v>9</v>
      </c>
      <c r="B6" s="5">
        <v>62545</v>
      </c>
      <c r="C6" s="9">
        <v>16170</v>
      </c>
      <c r="D6" s="11">
        <v>13301</v>
      </c>
      <c r="E6" s="11">
        <v>92016</v>
      </c>
      <c r="F6" s="11">
        <v>54139</v>
      </c>
      <c r="G6" s="20">
        <v>13282</v>
      </c>
      <c r="H6" s="23">
        <v>10512</v>
      </c>
      <c r="I6" s="26">
        <v>77933</v>
      </c>
      <c r="J6" s="18">
        <f>25979+3350</f>
        <v>29329</v>
      </c>
      <c r="K6" s="16">
        <f t="shared" si="0"/>
        <v>48604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2.75">
      <c r="A7" s="4" t="s">
        <v>10</v>
      </c>
      <c r="B7" s="5">
        <v>5417</v>
      </c>
      <c r="C7" s="9">
        <v>3099</v>
      </c>
      <c r="D7" s="11">
        <v>1869</v>
      </c>
      <c r="E7" s="11">
        <v>10385</v>
      </c>
      <c r="F7" s="11">
        <v>4818</v>
      </c>
      <c r="G7" s="20">
        <v>2595</v>
      </c>
      <c r="H7" s="23">
        <v>1519</v>
      </c>
      <c r="I7" s="26">
        <v>8932</v>
      </c>
      <c r="J7" s="11">
        <v>5662</v>
      </c>
      <c r="K7" s="16">
        <f t="shared" si="0"/>
        <v>3270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2.75">
      <c r="A8" s="4" t="s">
        <v>11</v>
      </c>
      <c r="B8" s="5">
        <v>793</v>
      </c>
      <c r="C8" s="9">
        <v>594</v>
      </c>
      <c r="D8" s="11">
        <v>299</v>
      </c>
      <c r="E8" s="11">
        <v>1686</v>
      </c>
      <c r="F8" s="11">
        <v>692</v>
      </c>
      <c r="G8" s="20">
        <v>492</v>
      </c>
      <c r="H8" s="22">
        <v>234</v>
      </c>
      <c r="I8" s="26">
        <v>1418</v>
      </c>
      <c r="J8" s="11">
        <v>1202</v>
      </c>
      <c r="K8" s="16">
        <f t="shared" si="0"/>
        <v>216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2.75">
      <c r="A9" s="4" t="s">
        <v>12</v>
      </c>
      <c r="B9" s="5">
        <v>7947</v>
      </c>
      <c r="C9" s="9">
        <v>5873</v>
      </c>
      <c r="D9" s="11">
        <v>3083</v>
      </c>
      <c r="E9" s="11">
        <v>16903</v>
      </c>
      <c r="F9" s="11">
        <v>7029</v>
      </c>
      <c r="G9" s="20">
        <v>4934</v>
      </c>
      <c r="H9" s="23">
        <v>2481</v>
      </c>
      <c r="I9" s="26">
        <v>14444</v>
      </c>
      <c r="J9" s="11">
        <v>10558</v>
      </c>
      <c r="K9" s="16">
        <f t="shared" si="0"/>
        <v>3886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2.75">
      <c r="A10" s="4" t="s">
        <v>13</v>
      </c>
      <c r="B10" s="5">
        <v>3366</v>
      </c>
      <c r="C10" s="9">
        <v>2409</v>
      </c>
      <c r="D10" s="11">
        <v>1227</v>
      </c>
      <c r="E10" s="11">
        <v>7002</v>
      </c>
      <c r="F10" s="11">
        <v>2790</v>
      </c>
      <c r="G10" s="20">
        <v>1937</v>
      </c>
      <c r="H10" s="23">
        <v>902</v>
      </c>
      <c r="I10" s="26">
        <v>5629</v>
      </c>
      <c r="J10" s="11">
        <v>1074</v>
      </c>
      <c r="K10" s="16">
        <f t="shared" si="0"/>
        <v>4555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2.75">
      <c r="A11" s="4" t="s">
        <v>14</v>
      </c>
      <c r="B11" s="5">
        <v>10236</v>
      </c>
      <c r="C11" s="9">
        <v>2055</v>
      </c>
      <c r="D11" s="11">
        <v>1926</v>
      </c>
      <c r="E11" s="11">
        <v>14217</v>
      </c>
      <c r="F11" s="11">
        <v>8717</v>
      </c>
      <c r="G11" s="20">
        <v>1654</v>
      </c>
      <c r="H11" s="23">
        <v>1428</v>
      </c>
      <c r="I11" s="26">
        <v>11799</v>
      </c>
      <c r="J11" s="11">
        <v>8571</v>
      </c>
      <c r="K11" s="16">
        <f t="shared" si="0"/>
        <v>3228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2.75">
      <c r="A12" s="4" t="s">
        <v>15</v>
      </c>
      <c r="B12" s="5">
        <v>1565</v>
      </c>
      <c r="C12" s="9">
        <v>718</v>
      </c>
      <c r="D12" s="11">
        <v>275</v>
      </c>
      <c r="E12" s="11">
        <v>2558</v>
      </c>
      <c r="F12" s="11">
        <v>1355</v>
      </c>
      <c r="G12" s="20">
        <v>628</v>
      </c>
      <c r="H12" s="22">
        <v>229</v>
      </c>
      <c r="I12" s="26">
        <v>2212</v>
      </c>
      <c r="J12" s="11">
        <v>1764</v>
      </c>
      <c r="K12" s="16">
        <f t="shared" si="0"/>
        <v>448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2.75">
      <c r="A13" s="4" t="s">
        <v>16</v>
      </c>
      <c r="B13" s="5">
        <v>17647</v>
      </c>
      <c r="C13" s="9">
        <v>6408</v>
      </c>
      <c r="D13" s="11">
        <v>5263</v>
      </c>
      <c r="E13" s="11">
        <v>29318</v>
      </c>
      <c r="F13" s="11">
        <v>14668</v>
      </c>
      <c r="G13" s="20">
        <v>5075</v>
      </c>
      <c r="H13" s="24">
        <v>3904</v>
      </c>
      <c r="I13" s="26">
        <v>23647</v>
      </c>
      <c r="J13" s="36">
        <f>10024+3275</f>
        <v>13299</v>
      </c>
      <c r="K13" s="16">
        <f t="shared" si="0"/>
        <v>10348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2.75">
      <c r="A14" s="4" t="s">
        <v>17</v>
      </c>
      <c r="B14" s="5">
        <v>793</v>
      </c>
      <c r="C14" s="9">
        <v>958</v>
      </c>
      <c r="D14" s="11">
        <v>192</v>
      </c>
      <c r="E14" s="11">
        <v>1943</v>
      </c>
      <c r="F14" s="11">
        <v>716</v>
      </c>
      <c r="G14" s="20">
        <v>832</v>
      </c>
      <c r="H14" s="22">
        <v>160</v>
      </c>
      <c r="I14" s="26">
        <v>1708</v>
      </c>
      <c r="J14" s="11">
        <v>1550</v>
      </c>
      <c r="K14" s="16">
        <f t="shared" si="0"/>
        <v>158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2.75">
      <c r="A15" s="4" t="s">
        <v>18</v>
      </c>
      <c r="B15" s="5">
        <v>11408</v>
      </c>
      <c r="C15" s="9">
        <v>6781</v>
      </c>
      <c r="D15" s="11">
        <v>4039</v>
      </c>
      <c r="E15" s="11">
        <v>22228</v>
      </c>
      <c r="F15" s="11">
        <v>9902</v>
      </c>
      <c r="G15" s="20">
        <v>5624</v>
      </c>
      <c r="H15" s="23">
        <v>3253</v>
      </c>
      <c r="I15" s="26">
        <v>18779</v>
      </c>
      <c r="J15" s="37">
        <v>9997</v>
      </c>
      <c r="K15" s="16">
        <f t="shared" si="0"/>
        <v>8782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2.75">
      <c r="A16" s="4" t="s">
        <v>19</v>
      </c>
      <c r="B16" s="5">
        <v>26371</v>
      </c>
      <c r="C16" s="9">
        <v>5974</v>
      </c>
      <c r="D16" s="11">
        <v>7656</v>
      </c>
      <c r="E16" s="11">
        <v>40001</v>
      </c>
      <c r="F16" s="11">
        <v>22562</v>
      </c>
      <c r="G16" s="20">
        <v>4862</v>
      </c>
      <c r="H16" s="23">
        <v>6070</v>
      </c>
      <c r="I16" s="26">
        <v>33494</v>
      </c>
      <c r="J16" s="11">
        <v>27696</v>
      </c>
      <c r="K16" s="16">
        <f t="shared" si="0"/>
        <v>5798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2.75">
      <c r="A17" s="4" t="s">
        <v>20</v>
      </c>
      <c r="B17" s="5">
        <v>1305</v>
      </c>
      <c r="C17" s="9">
        <v>479</v>
      </c>
      <c r="D17" s="11">
        <v>273</v>
      </c>
      <c r="E17" s="11">
        <v>2057</v>
      </c>
      <c r="F17" s="11">
        <v>1156</v>
      </c>
      <c r="G17" s="20">
        <v>405</v>
      </c>
      <c r="H17" s="22">
        <v>206</v>
      </c>
      <c r="I17" s="26">
        <v>1767</v>
      </c>
      <c r="J17" s="11">
        <v>1739</v>
      </c>
      <c r="K17" s="16">
        <f t="shared" si="0"/>
        <v>28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2.75">
      <c r="A18" s="4" t="s">
        <v>21</v>
      </c>
      <c r="B18" s="5">
        <v>104568</v>
      </c>
      <c r="C18" s="9">
        <v>13901</v>
      </c>
      <c r="D18" s="11">
        <v>23674</v>
      </c>
      <c r="E18" s="11">
        <v>142143</v>
      </c>
      <c r="F18" s="11">
        <v>66321</v>
      </c>
      <c r="G18" s="20">
        <v>8034</v>
      </c>
      <c r="H18" s="23">
        <v>12702</v>
      </c>
      <c r="I18" s="26">
        <v>87057</v>
      </c>
      <c r="J18" s="37">
        <f>41604+17918</f>
        <v>59522</v>
      </c>
      <c r="K18" s="16">
        <f t="shared" si="0"/>
        <v>27535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2.75">
      <c r="A19" s="4" t="s">
        <v>22</v>
      </c>
      <c r="B19" s="5">
        <v>69678</v>
      </c>
      <c r="C19" s="9">
        <v>3892</v>
      </c>
      <c r="D19" s="11">
        <v>8345</v>
      </c>
      <c r="E19" s="11">
        <v>81915</v>
      </c>
      <c r="F19" s="11">
        <v>49239</v>
      </c>
      <c r="G19" s="20">
        <v>2561</v>
      </c>
      <c r="H19" s="23">
        <v>4688</v>
      </c>
      <c r="I19" s="26">
        <v>56488</v>
      </c>
      <c r="J19" s="11">
        <v>23677</v>
      </c>
      <c r="K19" s="16">
        <f>I19-J19</f>
        <v>32811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2.75">
      <c r="A20" s="4" t="s">
        <v>23</v>
      </c>
      <c r="B20" s="5">
        <v>2197</v>
      </c>
      <c r="C20" s="9">
        <v>1462</v>
      </c>
      <c r="D20" s="11">
        <v>734</v>
      </c>
      <c r="E20" s="11">
        <v>4393</v>
      </c>
      <c r="F20" s="11">
        <v>1904</v>
      </c>
      <c r="G20" s="20">
        <v>1186</v>
      </c>
      <c r="H20" s="23">
        <v>581</v>
      </c>
      <c r="I20" s="26">
        <v>3671</v>
      </c>
      <c r="J20" s="19">
        <v>3557</v>
      </c>
      <c r="K20" s="16">
        <f>I20-J20</f>
        <v>114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2.75">
      <c r="A21" s="4" t="s">
        <v>24</v>
      </c>
      <c r="B21" s="5">
        <v>4486</v>
      </c>
      <c r="C21" s="9">
        <v>2701</v>
      </c>
      <c r="D21" s="11">
        <v>1543</v>
      </c>
      <c r="E21" s="11">
        <v>8730</v>
      </c>
      <c r="F21" s="11">
        <v>3868</v>
      </c>
      <c r="G21" s="20">
        <v>2181</v>
      </c>
      <c r="H21" s="23">
        <v>1198</v>
      </c>
      <c r="I21" s="26">
        <v>7247</v>
      </c>
      <c r="J21" s="37">
        <f>5247+1593</f>
        <v>6840</v>
      </c>
      <c r="K21" s="16">
        <f>I21-J21</f>
        <v>407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2.75">
      <c r="A22" s="4" t="s">
        <v>25</v>
      </c>
      <c r="B22" s="5">
        <v>691</v>
      </c>
      <c r="C22" s="9">
        <v>433</v>
      </c>
      <c r="D22" s="11">
        <v>185</v>
      </c>
      <c r="E22" s="11">
        <v>1309</v>
      </c>
      <c r="F22" s="11">
        <v>595</v>
      </c>
      <c r="G22" s="20">
        <v>363</v>
      </c>
      <c r="H22" s="22">
        <v>142</v>
      </c>
      <c r="I22" s="26">
        <v>1100</v>
      </c>
      <c r="J22" s="11">
        <v>827</v>
      </c>
      <c r="K22" s="16">
        <f t="shared" si="0"/>
        <v>273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2.75">
      <c r="A23" s="4" t="s">
        <v>26</v>
      </c>
      <c r="B23" s="5">
        <v>2582</v>
      </c>
      <c r="C23" s="9">
        <v>1265</v>
      </c>
      <c r="D23" s="11">
        <v>865</v>
      </c>
      <c r="E23" s="11">
        <v>4712</v>
      </c>
      <c r="F23" s="11">
        <v>2317</v>
      </c>
      <c r="G23" s="20">
        <v>1098</v>
      </c>
      <c r="H23" s="23">
        <v>730</v>
      </c>
      <c r="I23" s="26">
        <v>4145</v>
      </c>
      <c r="J23" s="11">
        <v>2797</v>
      </c>
      <c r="K23" s="16">
        <f t="shared" si="0"/>
        <v>1348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2.75">
      <c r="A24" s="4" t="s">
        <v>27</v>
      </c>
      <c r="B24" s="5">
        <v>5903</v>
      </c>
      <c r="C24" s="9">
        <v>3608</v>
      </c>
      <c r="D24" s="11">
        <v>2143</v>
      </c>
      <c r="E24" s="11">
        <v>11654</v>
      </c>
      <c r="F24" s="11">
        <v>5170</v>
      </c>
      <c r="G24" s="20">
        <v>3051</v>
      </c>
      <c r="H24" s="23">
        <v>1732</v>
      </c>
      <c r="I24" s="26">
        <v>9953</v>
      </c>
      <c r="J24" s="11">
        <v>5999</v>
      </c>
      <c r="K24" s="16">
        <f t="shared" si="0"/>
        <v>3954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2.75">
      <c r="A25" s="4" t="s">
        <v>28</v>
      </c>
      <c r="B25" s="5">
        <v>3980</v>
      </c>
      <c r="C25" s="9">
        <v>2013</v>
      </c>
      <c r="D25" s="11">
        <v>1068</v>
      </c>
      <c r="E25" s="11">
        <v>7061</v>
      </c>
      <c r="F25" s="11">
        <v>3466</v>
      </c>
      <c r="G25" s="20">
        <v>1716</v>
      </c>
      <c r="H25" s="23">
        <v>837</v>
      </c>
      <c r="I25" s="26">
        <v>6019</v>
      </c>
      <c r="J25" s="11">
        <v>4149</v>
      </c>
      <c r="K25" s="16">
        <f t="shared" si="0"/>
        <v>1870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2.75">
      <c r="A26" s="4" t="s">
        <v>29</v>
      </c>
      <c r="B26" s="5">
        <v>2822</v>
      </c>
      <c r="C26" s="9">
        <v>1874</v>
      </c>
      <c r="D26" s="11">
        <v>945</v>
      </c>
      <c r="E26" s="11">
        <v>5641</v>
      </c>
      <c r="F26" s="11">
        <v>2457</v>
      </c>
      <c r="G26" s="20">
        <v>1596</v>
      </c>
      <c r="H26" s="23">
        <v>768</v>
      </c>
      <c r="I26" s="26">
        <v>4821</v>
      </c>
      <c r="J26" s="11">
        <v>4063</v>
      </c>
      <c r="K26" s="16">
        <f t="shared" si="0"/>
        <v>758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2.75">
      <c r="A27" s="4" t="s">
        <v>30</v>
      </c>
      <c r="B27" s="6">
        <v>438134</v>
      </c>
      <c r="C27" s="7">
        <v>102220</v>
      </c>
      <c r="D27" s="12">
        <v>99171</v>
      </c>
      <c r="E27" s="12">
        <v>639525</v>
      </c>
      <c r="F27" s="12">
        <v>337350</v>
      </c>
      <c r="G27" s="21">
        <v>78918</v>
      </c>
      <c r="H27" s="25">
        <v>68671</v>
      </c>
      <c r="I27" s="27">
        <v>484939</v>
      </c>
      <c r="J27" s="12">
        <f>SUM(J3:J26)</f>
        <v>275454</v>
      </c>
      <c r="K27" s="17">
        <f t="shared" si="0"/>
        <v>209485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2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6.5" customHeight="1">
      <c r="A29" s="35" t="s">
        <v>33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5" customHeight="1">
      <c r="A30" s="29" t="s">
        <v>34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4.25" customHeight="1">
      <c r="A31" s="29" t="s">
        <v>31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3.5" customHeight="1">
      <c r="A32" s="29" t="s">
        <v>32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2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2.75">
      <c r="A34" s="2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2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2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2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2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2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2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2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2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2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2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2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 spans="1:33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</sheetData>
  <mergeCells count="7">
    <mergeCell ref="A31:K31"/>
    <mergeCell ref="A32:K32"/>
    <mergeCell ref="A1:A2"/>
    <mergeCell ref="B1:E1"/>
    <mergeCell ref="F1:I1"/>
    <mergeCell ref="A29:K29"/>
    <mergeCell ref="A30:K30"/>
  </mergeCells>
  <pageMargins left="0.7" right="0.7" top="0.75" bottom="0.75" header="0.3" footer="0.3"/>
  <pageSetup paperSize="5" scale="99" fitToHeight="0" orientation="landscape" r:id="rId1"/>
  <headerFooter>
    <oddHeader>&amp;C&amp;"-,Bold"&amp;20Mail-in Ballots Left to Count through November 11, 2022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Fri., Nov. 11th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E. Hartman</dc:creator>
  <cp:lastModifiedBy>Tracey E. Hartman</cp:lastModifiedBy>
  <cp:lastPrinted>2022-07-27T19:35:52Z</cp:lastPrinted>
  <dcterms:created xsi:type="dcterms:W3CDTF">2022-07-27T19:38:38Z</dcterms:created>
  <dcterms:modified xsi:type="dcterms:W3CDTF">2022-11-13T00:26:46Z</dcterms:modified>
</cp:coreProperties>
</file>